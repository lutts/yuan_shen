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python\projects\yuanshen\"/>
    </mc:Choice>
  </mc:AlternateContent>
  <xr:revisionPtr revIDLastSave="0" documentId="13_ncr:1_{E7D0B2F1-06C8-4324-A79C-F2225BB31ED4}" xr6:coauthVersionLast="47" xr6:coauthVersionMax="47" xr10:uidLastSave="{00000000-0000-0000-0000-000000000000}"/>
  <bookViews>
    <workbookView xWindow="-98" yWindow="-98" windowWidth="22695" windowHeight="14476" activeTab="5" xr2:uid="{00000000-000D-0000-FFFF-FFFF00000000}"/>
  </bookViews>
  <sheets>
    <sheet name="角色一" sheetId="1" r:id="rId1"/>
    <sheet name="角色二" sheetId="3" r:id="rId2"/>
    <sheet name="角色三" sheetId="4" r:id="rId3"/>
    <sheet name="角色四" sheetId="5" r:id="rId4"/>
    <sheet name="等级系数对照表" sheetId="2" r:id="rId5"/>
    <sheet name="原始页面" sheetId="6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1" i="6" l="1"/>
  <c r="H35" i="6"/>
  <c r="H33" i="6"/>
  <c r="C24" i="6"/>
  <c r="C20" i="6"/>
  <c r="G16" i="6"/>
  <c r="E16" i="6"/>
  <c r="H39" i="6" s="1"/>
  <c r="C12" i="6"/>
  <c r="E14" i="6" s="1"/>
  <c r="C14" i="6" s="1"/>
  <c r="E10" i="6"/>
  <c r="C4" i="6"/>
  <c r="C2" i="6"/>
  <c r="F6" i="6" s="1"/>
  <c r="H41" i="5"/>
  <c r="H35" i="5"/>
  <c r="H33" i="5"/>
  <c r="C24" i="5"/>
  <c r="C20" i="5"/>
  <c r="G16" i="5"/>
  <c r="E16" i="5"/>
  <c r="H39" i="5" s="1"/>
  <c r="C12" i="5"/>
  <c r="E14" i="5" s="1"/>
  <c r="C14" i="5" s="1"/>
  <c r="E10" i="5"/>
  <c r="C4" i="5"/>
  <c r="C2" i="5"/>
  <c r="F6" i="5" s="1"/>
  <c r="H41" i="4"/>
  <c r="H35" i="4"/>
  <c r="H33" i="4"/>
  <c r="C24" i="4"/>
  <c r="C20" i="4"/>
  <c r="G16" i="4"/>
  <c r="E16" i="4"/>
  <c r="H39" i="4" s="1"/>
  <c r="C12" i="4"/>
  <c r="E14" i="4" s="1"/>
  <c r="C14" i="4" s="1"/>
  <c r="E10" i="4"/>
  <c r="C4" i="4"/>
  <c r="C2" i="4"/>
  <c r="F6" i="4" s="1"/>
  <c r="H41" i="3"/>
  <c r="H35" i="3"/>
  <c r="H33" i="3"/>
  <c r="C24" i="3"/>
  <c r="C20" i="3"/>
  <c r="G16" i="3"/>
  <c r="E16" i="3"/>
  <c r="H39" i="3" s="1"/>
  <c r="C12" i="3"/>
  <c r="E14" i="3" s="1"/>
  <c r="C14" i="3" s="1"/>
  <c r="E10" i="3"/>
  <c r="C4" i="3"/>
  <c r="C2" i="3"/>
  <c r="F6" i="3" s="1"/>
  <c r="D39" i="1"/>
  <c r="C39" i="1"/>
  <c r="D48" i="1"/>
  <c r="C48" i="1"/>
  <c r="D49" i="1"/>
  <c r="C49" i="1"/>
  <c r="B49" i="1"/>
  <c r="B48" i="1"/>
  <c r="B46" i="1"/>
  <c r="B45" i="1"/>
  <c r="B44" i="1"/>
  <c r="B43" i="1"/>
  <c r="B40" i="1"/>
  <c r="B39" i="1"/>
  <c r="B47" i="1"/>
  <c r="C12" i="1"/>
  <c r="E14" i="1" s="1"/>
  <c r="C14" i="1" s="1"/>
  <c r="H41" i="1"/>
  <c r="C24" i="1"/>
  <c r="C4" i="1"/>
  <c r="H33" i="1"/>
  <c r="H35" i="1"/>
  <c r="C2" i="1"/>
  <c r="G16" i="1"/>
  <c r="E16" i="1"/>
  <c r="E10" i="1"/>
  <c r="B47" i="6" l="1"/>
  <c r="B39" i="6"/>
  <c r="B46" i="6"/>
  <c r="B49" i="6"/>
  <c r="B45" i="6"/>
  <c r="B44" i="6"/>
  <c r="B43" i="6"/>
  <c r="B40" i="6"/>
  <c r="B48" i="6"/>
  <c r="B34" i="6"/>
  <c r="B41" i="6"/>
  <c r="B33" i="6"/>
  <c r="B42" i="6"/>
  <c r="B32" i="6"/>
  <c r="B46" i="5"/>
  <c r="B49" i="5"/>
  <c r="B45" i="5"/>
  <c r="B44" i="5"/>
  <c r="B43" i="5"/>
  <c r="B40" i="5"/>
  <c r="B48" i="5"/>
  <c r="B39" i="5"/>
  <c r="B47" i="5"/>
  <c r="B41" i="5"/>
  <c r="B33" i="5"/>
  <c r="B42" i="5"/>
  <c r="B32" i="5"/>
  <c r="B34" i="5"/>
  <c r="B47" i="4"/>
  <c r="B39" i="4"/>
  <c r="B44" i="4"/>
  <c r="B49" i="4"/>
  <c r="B45" i="4"/>
  <c r="B43" i="4"/>
  <c r="B40" i="4"/>
  <c r="B48" i="4"/>
  <c r="B46" i="4"/>
  <c r="B34" i="4"/>
  <c r="B41" i="4"/>
  <c r="B33" i="4"/>
  <c r="B42" i="4"/>
  <c r="B32" i="4"/>
  <c r="B34" i="3"/>
  <c r="B41" i="3"/>
  <c r="B33" i="3"/>
  <c r="B42" i="3"/>
  <c r="B32" i="3"/>
  <c r="B47" i="3"/>
  <c r="B39" i="3"/>
  <c r="B49" i="3"/>
  <c r="B44" i="3"/>
  <c r="B46" i="3"/>
  <c r="B45" i="3"/>
  <c r="B43" i="3"/>
  <c r="B40" i="3"/>
  <c r="B48" i="3"/>
  <c r="H39" i="1"/>
  <c r="F6" i="1"/>
  <c r="B36" i="6" l="1"/>
  <c r="B38" i="6"/>
  <c r="B35" i="6"/>
  <c r="D32" i="6"/>
  <c r="B37" i="6"/>
  <c r="C32" i="6"/>
  <c r="D42" i="6"/>
  <c r="C42" i="6"/>
  <c r="D33" i="6"/>
  <c r="C33" i="6"/>
  <c r="D49" i="6"/>
  <c r="C49" i="6"/>
  <c r="D41" i="6"/>
  <c r="C41" i="6"/>
  <c r="C34" i="6"/>
  <c r="D34" i="6"/>
  <c r="C39" i="6"/>
  <c r="D39" i="6"/>
  <c r="D48" i="6"/>
  <c r="C48" i="6"/>
  <c r="C47" i="6"/>
  <c r="D47" i="6"/>
  <c r="D41" i="5"/>
  <c r="C41" i="5"/>
  <c r="C39" i="5"/>
  <c r="D39" i="5"/>
  <c r="C47" i="5"/>
  <c r="D47" i="5"/>
  <c r="D49" i="5"/>
  <c r="C49" i="5"/>
  <c r="C34" i="5"/>
  <c r="D34" i="5"/>
  <c r="D42" i="5"/>
  <c r="C42" i="5"/>
  <c r="D48" i="5"/>
  <c r="C48" i="5"/>
  <c r="B36" i="5"/>
  <c r="B38" i="5"/>
  <c r="B35" i="5"/>
  <c r="D32" i="5"/>
  <c r="B37" i="5"/>
  <c r="C32" i="5"/>
  <c r="D33" i="5"/>
  <c r="C33" i="5"/>
  <c r="D34" i="4"/>
  <c r="C34" i="4"/>
  <c r="D48" i="4"/>
  <c r="C48" i="4"/>
  <c r="D39" i="4"/>
  <c r="C39" i="4"/>
  <c r="D47" i="4"/>
  <c r="C47" i="4"/>
  <c r="B38" i="4"/>
  <c r="B37" i="4"/>
  <c r="C32" i="4"/>
  <c r="B35" i="4"/>
  <c r="D32" i="4"/>
  <c r="B36" i="4"/>
  <c r="C42" i="4"/>
  <c r="D42" i="4"/>
  <c r="C33" i="4"/>
  <c r="D33" i="4"/>
  <c r="D49" i="4"/>
  <c r="C49" i="4"/>
  <c r="C41" i="4"/>
  <c r="D41" i="4"/>
  <c r="B42" i="1"/>
  <c r="D42" i="1" s="1"/>
  <c r="B41" i="1"/>
  <c r="D49" i="3"/>
  <c r="C49" i="3"/>
  <c r="C41" i="3"/>
  <c r="D41" i="3"/>
  <c r="D39" i="3"/>
  <c r="C39" i="3"/>
  <c r="B38" i="3"/>
  <c r="C32" i="3"/>
  <c r="D32" i="3"/>
  <c r="B37" i="3"/>
  <c r="B35" i="3"/>
  <c r="B36" i="3"/>
  <c r="C33" i="3"/>
  <c r="D33" i="3"/>
  <c r="D34" i="3"/>
  <c r="C34" i="3"/>
  <c r="D48" i="3"/>
  <c r="C48" i="3"/>
  <c r="D47" i="3"/>
  <c r="C47" i="3"/>
  <c r="C42" i="3"/>
  <c r="D42" i="3"/>
  <c r="D47" i="1"/>
  <c r="C47" i="1"/>
  <c r="B33" i="1"/>
  <c r="C20" i="1"/>
  <c r="B34" i="1" s="1"/>
  <c r="D35" i="6" l="1"/>
  <c r="C35" i="6"/>
  <c r="D38" i="6"/>
  <c r="C38" i="6"/>
  <c r="C36" i="6"/>
  <c r="D36" i="6"/>
  <c r="C26" i="6"/>
  <c r="D37" i="6"/>
  <c r="C28" i="6" s="1"/>
  <c r="C37" i="6"/>
  <c r="C27" i="6" s="1"/>
  <c r="D38" i="5"/>
  <c r="C38" i="5"/>
  <c r="D35" i="5"/>
  <c r="C35" i="5"/>
  <c r="D36" i="5"/>
  <c r="C36" i="5"/>
  <c r="C26" i="5"/>
  <c r="D37" i="5"/>
  <c r="C28" i="5" s="1"/>
  <c r="C37" i="5"/>
  <c r="C27" i="5" s="1"/>
  <c r="C26" i="4"/>
  <c r="D37" i="4"/>
  <c r="C28" i="4" s="1"/>
  <c r="C37" i="4"/>
  <c r="C27" i="4" s="1"/>
  <c r="C38" i="4"/>
  <c r="D38" i="4"/>
  <c r="D35" i="4"/>
  <c r="C35" i="4"/>
  <c r="C36" i="4"/>
  <c r="D36" i="4"/>
  <c r="C26" i="3"/>
  <c r="D37" i="3"/>
  <c r="C28" i="3" s="1"/>
  <c r="C37" i="3"/>
  <c r="C27" i="3" s="1"/>
  <c r="D41" i="1"/>
  <c r="C41" i="1"/>
  <c r="D38" i="3"/>
  <c r="C38" i="3"/>
  <c r="C36" i="3"/>
  <c r="D36" i="3"/>
  <c r="D35" i="3"/>
  <c r="C35" i="3"/>
  <c r="C34" i="1"/>
  <c r="D34" i="1"/>
  <c r="B32" i="1"/>
  <c r="C33" i="1"/>
  <c r="D33" i="1"/>
  <c r="C42" i="1"/>
  <c r="D32" i="1" l="1"/>
  <c r="B38" i="1"/>
  <c r="B37" i="1"/>
  <c r="C26" i="1" s="1"/>
  <c r="B36" i="1"/>
  <c r="B35" i="1"/>
  <c r="C32" i="1"/>
  <c r="C37" i="1" l="1"/>
  <c r="C27" i="1" s="1"/>
  <c r="D37" i="1"/>
  <c r="C28" i="1" s="1"/>
  <c r="C38" i="1"/>
  <c r="D38" i="1"/>
  <c r="C35" i="1"/>
  <c r="D35" i="1"/>
  <c r="C36" i="1"/>
  <c r="D36" i="1"/>
</calcChain>
</file>

<file path=xl/sharedStrings.xml><?xml version="1.0" encoding="utf-8"?>
<sst xmlns="http://schemas.openxmlformats.org/spreadsheetml/2006/main" count="363" uniqueCount="67">
  <si>
    <t>基础伤害区</t>
    <phoneticPr fontId="1" type="noConversion"/>
  </si>
  <si>
    <t>基础伤害提升</t>
    <phoneticPr fontId="1" type="noConversion"/>
  </si>
  <si>
    <t>固定值</t>
    <phoneticPr fontId="1" type="noConversion"/>
  </si>
  <si>
    <t>百分比</t>
    <phoneticPr fontId="1" type="noConversion"/>
  </si>
  <si>
    <t>攻击力</t>
  </si>
  <si>
    <t>倍率</t>
    <phoneticPr fontId="1" type="noConversion"/>
  </si>
  <si>
    <t>精通</t>
  </si>
  <si>
    <t>元素增伤区</t>
    <phoneticPr fontId="1" type="noConversion"/>
  </si>
  <si>
    <t>抗性区</t>
    <phoneticPr fontId="1" type="noConversion"/>
  </si>
  <si>
    <t>怪物抗性</t>
    <phoneticPr fontId="1" type="noConversion"/>
  </si>
  <si>
    <t>减抗</t>
    <phoneticPr fontId="1" type="noConversion"/>
  </si>
  <si>
    <t>抗性提升</t>
    <phoneticPr fontId="1" type="noConversion"/>
  </si>
  <si>
    <t>防御区</t>
    <phoneticPr fontId="1" type="noConversion"/>
  </si>
  <si>
    <t>怪物等级</t>
    <phoneticPr fontId="1" type="noConversion"/>
  </si>
  <si>
    <t>减防</t>
    <phoneticPr fontId="1" type="noConversion"/>
  </si>
  <si>
    <t>防御提升</t>
    <phoneticPr fontId="1" type="noConversion"/>
  </si>
  <si>
    <t>暴击区</t>
    <phoneticPr fontId="1" type="noConversion"/>
  </si>
  <si>
    <t>暴伤</t>
    <phoneticPr fontId="1" type="noConversion"/>
  </si>
  <si>
    <t>暴击</t>
    <phoneticPr fontId="1" type="noConversion"/>
  </si>
  <si>
    <t>角色等级</t>
    <phoneticPr fontId="1" type="noConversion"/>
  </si>
  <si>
    <t>注：来自角色的减防不能超过 90%</t>
    <phoneticPr fontId="1" type="noConversion"/>
  </si>
  <si>
    <t>抗性：</t>
    <phoneticPr fontId="1" type="noConversion"/>
  </si>
  <si>
    <t>期望伤害</t>
    <phoneticPr fontId="1" type="noConversion"/>
  </si>
  <si>
    <t>反应等级系数</t>
    <phoneticPr fontId="1" type="noConversion"/>
  </si>
  <si>
    <t>结晶等级系数</t>
    <phoneticPr fontId="1" type="noConversion"/>
  </si>
  <si>
    <t>注：绿色部分是自动计算的，无须手动输入</t>
    <phoneticPr fontId="1" type="noConversion"/>
  </si>
  <si>
    <t>元素反应</t>
    <phoneticPr fontId="1" type="noConversion"/>
  </si>
  <si>
    <t>超激化</t>
    <phoneticPr fontId="1" type="noConversion"/>
  </si>
  <si>
    <t>蔓激化</t>
    <phoneticPr fontId="1" type="noConversion"/>
  </si>
  <si>
    <t>火水蒸发</t>
    <phoneticPr fontId="1" type="noConversion"/>
  </si>
  <si>
    <t>水火蒸发</t>
    <phoneticPr fontId="1" type="noConversion"/>
  </si>
  <si>
    <t>火冰融化</t>
  </si>
  <si>
    <t>火冰融化</t>
    <phoneticPr fontId="1" type="noConversion"/>
  </si>
  <si>
    <t>冰火融化</t>
    <phoneticPr fontId="1" type="noConversion"/>
  </si>
  <si>
    <t>直伤月感电</t>
    <phoneticPr fontId="1" type="noConversion"/>
  </si>
  <si>
    <t>直伤月绽放</t>
    <phoneticPr fontId="1" type="noConversion"/>
  </si>
  <si>
    <t>无元素反应</t>
    <phoneticPr fontId="1" type="noConversion"/>
  </si>
  <si>
    <t>基础区计算结果</t>
    <phoneticPr fontId="1" type="noConversion"/>
  </si>
  <si>
    <t>减伤</t>
    <phoneticPr fontId="1" type="noConversion"/>
  </si>
  <si>
    <t>增伤/易伤</t>
    <phoneticPr fontId="1" type="noConversion"/>
  </si>
  <si>
    <t>抗性系数</t>
    <phoneticPr fontId="1" type="noConversion"/>
  </si>
  <si>
    <t>防御系数</t>
    <phoneticPr fontId="1" type="noConversion"/>
  </si>
  <si>
    <t>暴击伤害</t>
    <phoneticPr fontId="1" type="noConversion"/>
  </si>
  <si>
    <t>反应类型</t>
    <phoneticPr fontId="1" type="noConversion"/>
  </si>
  <si>
    <t>精通</t>
    <phoneticPr fontId="1" type="noConversion"/>
  </si>
  <si>
    <t>伤害计算结果</t>
    <phoneticPr fontId="1" type="noConversion"/>
  </si>
  <si>
    <t>无视防御</t>
    <phoneticPr fontId="1" type="noConversion"/>
  </si>
  <si>
    <t>例如：雷电将军二命忽视60%防御</t>
    <phoneticPr fontId="1" type="noConversion"/>
  </si>
  <si>
    <t>超导</t>
    <phoneticPr fontId="1" type="noConversion"/>
  </si>
  <si>
    <t>扩散</t>
    <phoneticPr fontId="1" type="noConversion"/>
  </si>
  <si>
    <t>碎冰</t>
    <phoneticPr fontId="1" type="noConversion"/>
  </si>
  <si>
    <t>超载</t>
    <phoneticPr fontId="1" type="noConversion"/>
  </si>
  <si>
    <t>普通感电</t>
    <phoneticPr fontId="1" type="noConversion"/>
  </si>
  <si>
    <t>普通绽放</t>
    <phoneticPr fontId="1" type="noConversion"/>
  </si>
  <si>
    <t>烈绽放</t>
    <phoneticPr fontId="1" type="noConversion"/>
  </si>
  <si>
    <t>超绽放</t>
    <phoneticPr fontId="1" type="noConversion"/>
  </si>
  <si>
    <t>燃烧</t>
    <phoneticPr fontId="1" type="noConversion"/>
  </si>
  <si>
    <t>额外提升</t>
    <phoneticPr fontId="1" type="noConversion"/>
  </si>
  <si>
    <t>反应倍率</t>
    <phoneticPr fontId="1" type="noConversion"/>
  </si>
  <si>
    <t>擢升</t>
    <phoneticPr fontId="1" type="noConversion"/>
  </si>
  <si>
    <t>普通剧变通用部分：</t>
    <phoneticPr fontId="1" type="noConversion"/>
  </si>
  <si>
    <t>反应提升(精通区)</t>
    <phoneticPr fontId="1" type="noConversion"/>
  </si>
  <si>
    <t>例如：菈乌玛苍色祷歌</t>
    <phoneticPr fontId="1" type="noConversion"/>
  </si>
  <si>
    <t>不暴击伤害</t>
    <phoneticPr fontId="1" type="noConversion"/>
  </si>
  <si>
    <t>增幅反应该精通区：</t>
    <phoneticPr fontId="1" type="noConversion"/>
  </si>
  <si>
    <t>激化精通区：</t>
    <phoneticPr fontId="1" type="noConversion"/>
  </si>
  <si>
    <t>月曜反应精通区：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</si>
</sst>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9"/>
      <name val="等线"/>
      <family val="2"/>
      <scheme val="minor"/>
    </font>
    <font>
      <sz val="11"/>
      <color theme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1"/>
      <color theme="9"/>
      <name val="等线"/>
      <family val="3"/>
      <charset val="134"/>
      <scheme val="minor"/>
    </font>
    <font>
      <sz val="11"/>
      <name val="等线"/>
      <family val="2"/>
      <scheme val="minor"/>
    </font>
    <font>
      <b/>
      <sz val="11"/>
      <color theme="9" tint="-0.249977111117893"/>
      <name val="等线"/>
      <family val="3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b/>
      <sz val="11"/>
      <color rgb="FFC00000"/>
      <name val="等线"/>
      <family val="3"/>
      <charset val="134"/>
      <scheme val="minor"/>
    </font>
    <font>
      <sz val="11"/>
      <color rgb="FFC00000"/>
      <name val="等线"/>
      <family val="3"/>
      <charset val="134"/>
      <scheme val="minor"/>
    </font>
    <font>
      <b/>
      <sz val="11"/>
      <color theme="4" tint="-0.249977111117893"/>
      <name val="等线"/>
      <family val="3"/>
      <charset val="134"/>
      <scheme val="minor"/>
    </font>
    <font>
      <sz val="11"/>
      <color theme="4" tint="-0.24997711111789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/>
    <xf numFmtId="0" fontId="4" fillId="0" borderId="0" xfId="0" applyFont="1"/>
    <xf numFmtId="0" fontId="3" fillId="0" borderId="0" xfId="0" applyFont="1" applyAlignment="1">
      <alignment horizontal="right"/>
    </xf>
    <xf numFmtId="0" fontId="5" fillId="0" borderId="0" xfId="0" applyFont="1"/>
    <xf numFmtId="0" fontId="7" fillId="0" borderId="0" xfId="0" applyFont="1"/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2" fillId="0" borderId="0" xfId="0" applyFont="1"/>
    <xf numFmtId="0" fontId="0" fillId="0" borderId="0" xfId="0" applyNumberFormat="1"/>
    <xf numFmtId="0" fontId="9" fillId="0" borderId="0" xfId="0" applyFont="1"/>
    <xf numFmtId="0" fontId="7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10" fillId="0" borderId="0" xfId="0" applyFont="1" applyAlignment="1">
      <alignment horizontal="right"/>
    </xf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horizontal="right"/>
    </xf>
    <xf numFmtId="0" fontId="12" fillId="0" borderId="0" xfId="0" applyFont="1"/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5" fillId="0" borderId="0" xfId="0" applyFont="1"/>
    <xf numFmtId="0" fontId="4" fillId="0" borderId="0" xfId="0" applyFont="1" applyAlignment="1">
      <alignment horizontal="righ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9"/>
  <sheetViews>
    <sheetView topLeftCell="A19" workbookViewId="0">
      <selection activeCell="D42" sqref="D42"/>
    </sheetView>
  </sheetViews>
  <sheetFormatPr defaultRowHeight="13.9" x14ac:dyDescent="0.4"/>
  <cols>
    <col min="1" max="1" width="14.06640625" style="6" customWidth="1"/>
    <col min="2" max="2" width="16.46484375" style="6" customWidth="1"/>
    <col min="3" max="3" width="13.265625" customWidth="1"/>
    <col min="4" max="4" width="12.86328125" customWidth="1"/>
    <col min="5" max="5" width="19.265625" customWidth="1"/>
    <col min="6" max="6" width="13.6640625" customWidth="1"/>
    <col min="7" max="7" width="18.46484375" customWidth="1"/>
    <col min="8" max="8" width="10.46484375" customWidth="1"/>
  </cols>
  <sheetData>
    <row r="1" spans="1:10" x14ac:dyDescent="0.4">
      <c r="A1" s="5" t="s">
        <v>0</v>
      </c>
      <c r="B1" s="6" t="s">
        <v>4</v>
      </c>
      <c r="C1" s="17">
        <v>0</v>
      </c>
      <c r="D1" s="1"/>
      <c r="F1" s="1"/>
      <c r="G1" s="3"/>
      <c r="H1" s="1"/>
      <c r="J1" s="1"/>
    </row>
    <row r="2" spans="1:10" x14ac:dyDescent="0.4">
      <c r="A2" s="5"/>
      <c r="B2" s="6" t="s">
        <v>5</v>
      </c>
      <c r="C2" s="16">
        <f>9.452 + 3.4 * 2 + 1.2</f>
        <v>17.451999999999998</v>
      </c>
      <c r="G2" s="11"/>
    </row>
    <row r="3" spans="1:10" x14ac:dyDescent="0.4">
      <c r="A3" s="5"/>
      <c r="B3" s="6" t="s">
        <v>6</v>
      </c>
      <c r="C3" s="17">
        <v>1619</v>
      </c>
      <c r="D3" s="1"/>
      <c r="F3" s="1"/>
      <c r="H3" s="1"/>
      <c r="J3" s="1"/>
    </row>
    <row r="4" spans="1:10" x14ac:dyDescent="0.4">
      <c r="A4" s="5"/>
      <c r="B4" s="6" t="s">
        <v>5</v>
      </c>
      <c r="C4">
        <f>2.736 * 3</f>
        <v>8.2080000000000002</v>
      </c>
      <c r="F4" s="1"/>
    </row>
    <row r="5" spans="1:10" x14ac:dyDescent="0.4">
      <c r="A5" s="5" t="s">
        <v>1</v>
      </c>
      <c r="B5" s="6" t="s">
        <v>2</v>
      </c>
      <c r="C5">
        <v>0</v>
      </c>
    </row>
    <row r="6" spans="1:10" x14ac:dyDescent="0.4">
      <c r="A6" s="5"/>
      <c r="B6" s="6" t="s">
        <v>3</v>
      </c>
      <c r="C6">
        <v>0.14000000000000001</v>
      </c>
      <c r="E6" s="8" t="s">
        <v>37</v>
      </c>
      <c r="F6" s="9">
        <f>(C1 * C2 + C3 *  C4 + C5) * (1 + C6)</f>
        <v>15149.177280000002</v>
      </c>
    </row>
    <row r="7" spans="1:10" x14ac:dyDescent="0.4">
      <c r="A7" s="5" t="s">
        <v>7</v>
      </c>
      <c r="B7" s="6" t="s">
        <v>39</v>
      </c>
      <c r="C7">
        <v>2.1720000000000002</v>
      </c>
    </row>
    <row r="8" spans="1:10" x14ac:dyDescent="0.4">
      <c r="A8" s="4"/>
      <c r="B8" s="6" t="s">
        <v>38</v>
      </c>
      <c r="C8">
        <v>0</v>
      </c>
    </row>
    <row r="9" spans="1:10" x14ac:dyDescent="0.4">
      <c r="A9" s="7" t="s">
        <v>16</v>
      </c>
      <c r="B9" s="6" t="s">
        <v>18</v>
      </c>
      <c r="C9">
        <v>0.90500000000000003</v>
      </c>
    </row>
    <row r="10" spans="1:10" x14ac:dyDescent="0.4">
      <c r="A10" s="7"/>
      <c r="B10" s="6" t="s">
        <v>17</v>
      </c>
      <c r="C10">
        <v>1.2290000000000001</v>
      </c>
      <c r="D10" s="8" t="s">
        <v>22</v>
      </c>
      <c r="E10" s="9">
        <f>1 + C9 * C10</f>
        <v>2.1122450000000002</v>
      </c>
    </row>
    <row r="11" spans="1:10" x14ac:dyDescent="0.4">
      <c r="A11" s="5" t="s">
        <v>8</v>
      </c>
      <c r="B11" s="6" t="s">
        <v>9</v>
      </c>
      <c r="C11">
        <v>0.1</v>
      </c>
    </row>
    <row r="12" spans="1:10" x14ac:dyDescent="0.4">
      <c r="A12" s="5"/>
      <c r="B12" s="6" t="s">
        <v>10</v>
      </c>
      <c r="C12">
        <f>0.3+0.25</f>
        <v>0.55000000000000004</v>
      </c>
      <c r="F12" s="12" t="s">
        <v>25</v>
      </c>
      <c r="G12" s="12"/>
      <c r="H12" s="12"/>
    </row>
    <row r="13" spans="1:10" x14ac:dyDescent="0.4">
      <c r="A13" s="5"/>
      <c r="B13" s="6" t="s">
        <v>11</v>
      </c>
      <c r="C13">
        <v>0</v>
      </c>
    </row>
    <row r="14" spans="1:10" x14ac:dyDescent="0.4">
      <c r="A14" s="5"/>
      <c r="B14" s="13" t="s">
        <v>40</v>
      </c>
      <c r="C14" s="9">
        <f>IF(E14&lt;0,1-E14/2,IF(E14&lt;=0.75,1-E14,1/(4*E14+1)))</f>
        <v>1.2250000000000001</v>
      </c>
      <c r="D14" s="10" t="s">
        <v>21</v>
      </c>
      <c r="E14" s="9">
        <f>C11 - C12 + C13</f>
        <v>-0.45000000000000007</v>
      </c>
    </row>
    <row r="15" spans="1:10" x14ac:dyDescent="0.4">
      <c r="A15" s="5" t="s">
        <v>12</v>
      </c>
      <c r="B15" s="6" t="s">
        <v>13</v>
      </c>
      <c r="C15">
        <v>110</v>
      </c>
    </row>
    <row r="16" spans="1:10" x14ac:dyDescent="0.4">
      <c r="A16" s="5"/>
      <c r="B16" s="6" t="s">
        <v>19</v>
      </c>
      <c r="C16">
        <v>90</v>
      </c>
      <c r="D16" s="8" t="s">
        <v>23</v>
      </c>
      <c r="E16" s="9">
        <f>VLOOKUP(C16,等级系数对照表!A:C,2,0)</f>
        <v>1446.8538579999999</v>
      </c>
      <c r="F16" s="9" t="s">
        <v>24</v>
      </c>
      <c r="G16" s="9">
        <f>VLOOKUP(C16,等级系数对照表!A:C,3,0)</f>
        <v>1851.060358</v>
      </c>
    </row>
    <row r="17" spans="1:6" x14ac:dyDescent="0.4">
      <c r="A17" s="5"/>
      <c r="B17" s="6" t="s">
        <v>14</v>
      </c>
      <c r="C17">
        <v>0</v>
      </c>
      <c r="D17" t="s">
        <v>20</v>
      </c>
    </row>
    <row r="18" spans="1:6" x14ac:dyDescent="0.4">
      <c r="A18" s="5"/>
      <c r="B18" s="6" t="s">
        <v>46</v>
      </c>
      <c r="C18">
        <v>0</v>
      </c>
      <c r="D18" t="s">
        <v>47</v>
      </c>
    </row>
    <row r="19" spans="1:6" x14ac:dyDescent="0.4">
      <c r="A19" s="5"/>
      <c r="B19" s="6" t="s">
        <v>15</v>
      </c>
    </row>
    <row r="20" spans="1:6" x14ac:dyDescent="0.4">
      <c r="A20" s="5"/>
      <c r="B20" s="13" t="s">
        <v>41</v>
      </c>
      <c r="C20" s="9">
        <f>IF(F21=1,1,(C16+100)/((C16+100)+(C15+100)*(1-C17+C19)*(1-C18)))</f>
        <v>0.47499999999999998</v>
      </c>
    </row>
    <row r="21" spans="1:6" x14ac:dyDescent="0.4">
      <c r="A21" s="5" t="s">
        <v>26</v>
      </c>
      <c r="B21" s="6" t="s">
        <v>43</v>
      </c>
      <c r="C21" s="1" t="s">
        <v>31</v>
      </c>
      <c r="E21" s="8"/>
      <c r="F21" s="9"/>
    </row>
    <row r="22" spans="1:6" x14ac:dyDescent="0.4">
      <c r="A22" s="2"/>
      <c r="B22" s="6" t="s">
        <v>44</v>
      </c>
      <c r="C22">
        <v>1619</v>
      </c>
    </row>
    <row r="23" spans="1:6" x14ac:dyDescent="0.4">
      <c r="A23" s="2"/>
      <c r="B23" s="6" t="s">
        <v>61</v>
      </c>
      <c r="C23">
        <v>0.5</v>
      </c>
    </row>
    <row r="24" spans="1:6" x14ac:dyDescent="0.4">
      <c r="A24" s="2"/>
      <c r="B24" s="6" t="s">
        <v>57</v>
      </c>
      <c r="C24">
        <f>1619*4</f>
        <v>6476</v>
      </c>
      <c r="D24" t="s">
        <v>62</v>
      </c>
    </row>
    <row r="25" spans="1:6" x14ac:dyDescent="0.4">
      <c r="A25" s="2"/>
      <c r="B25" s="6" t="s">
        <v>59</v>
      </c>
      <c r="C25">
        <v>0</v>
      </c>
    </row>
    <row r="26" spans="1:6" x14ac:dyDescent="0.4">
      <c r="A26" s="18" t="s">
        <v>45</v>
      </c>
      <c r="B26" s="14" t="s">
        <v>63</v>
      </c>
      <c r="C26" s="12">
        <f>VLOOKUP(C21,A:D, 2,0)</f>
        <v>167252.97527550947</v>
      </c>
    </row>
    <row r="27" spans="1:6" x14ac:dyDescent="0.4">
      <c r="A27" s="18"/>
      <c r="B27" s="14" t="s">
        <v>42</v>
      </c>
      <c r="C27" s="12">
        <f>VLOOKUP(C21,A:D, 3,0)</f>
        <v>372806.88188911061</v>
      </c>
    </row>
    <row r="28" spans="1:6" x14ac:dyDescent="0.4">
      <c r="A28" s="19"/>
      <c r="B28" s="14" t="s">
        <v>22</v>
      </c>
      <c r="C28" s="12">
        <f>VLOOKUP(C21,A:D, 4,0)</f>
        <v>353279.26076081849</v>
      </c>
    </row>
    <row r="31" spans="1:6" x14ac:dyDescent="0.4">
      <c r="B31" s="6" t="s">
        <v>63</v>
      </c>
      <c r="C31" s="6" t="s">
        <v>42</v>
      </c>
      <c r="D31" s="6" t="s">
        <v>22</v>
      </c>
      <c r="E31" s="6" t="s">
        <v>58</v>
      </c>
      <c r="F31" s="6"/>
    </row>
    <row r="32" spans="1:6" x14ac:dyDescent="0.4">
      <c r="A32" s="6" t="s">
        <v>36</v>
      </c>
      <c r="B32" s="6">
        <f>F6 * (1 + C7 - C8)* C14 * C20</f>
        <v>27960.950124525607</v>
      </c>
      <c r="C32">
        <f>B32 * (1 +C10)</f>
        <v>62324.957827567581</v>
      </c>
      <c r="D32" s="6">
        <f>B32 * E10</f>
        <v>59060.377095778596</v>
      </c>
    </row>
    <row r="33" spans="1:8" s="22" customFormat="1" x14ac:dyDescent="0.4">
      <c r="A33" s="20" t="s">
        <v>27</v>
      </c>
      <c r="B33" s="20">
        <f>(F6 + E16 * 1.15 * H33) * (1 + C7 - C8) * C14 * C20</f>
        <v>41386.261820968532</v>
      </c>
      <c r="C33" s="22">
        <f>B33 * (1 + C10)</f>
        <v>92249.977598938858</v>
      </c>
      <c r="D33" s="21">
        <f>B33 * E10</f>
        <v>87417.924600031678</v>
      </c>
      <c r="E33" s="22">
        <v>1.1499999999999999</v>
      </c>
      <c r="G33" s="22" t="s">
        <v>65</v>
      </c>
      <c r="H33" s="22">
        <f>1 + 5 * C22 / (C22 + 1200) + C23</f>
        <v>4.3715856686768362</v>
      </c>
    </row>
    <row r="34" spans="1:8" s="22" customFormat="1" x14ac:dyDescent="0.4">
      <c r="A34" s="20" t="s">
        <v>28</v>
      </c>
      <c r="B34" s="20">
        <f>(F6 + E16 * 1.25 *H33) * (1 + C7 - C8) * C14 * C20</f>
        <v>42553.680229354883</v>
      </c>
      <c r="C34" s="22">
        <f>B34 * (1 + C10)</f>
        <v>94852.153231232034</v>
      </c>
      <c r="D34" s="21">
        <f>B34 * E10</f>
        <v>89883.798296053705</v>
      </c>
      <c r="E34" s="22">
        <v>1.25</v>
      </c>
    </row>
    <row r="35" spans="1:8" s="25" customFormat="1" x14ac:dyDescent="0.4">
      <c r="A35" s="23" t="s">
        <v>29</v>
      </c>
      <c r="B35" s="23">
        <f>B32 * H35 * E35</f>
        <v>125439.7314566321</v>
      </c>
      <c r="C35" s="25">
        <f>B35 * (1 + C10)</f>
        <v>279605.16141683294</v>
      </c>
      <c r="D35" s="24">
        <f>B35 * E10</f>
        <v>264959.4455706139</v>
      </c>
      <c r="E35" s="25">
        <v>1.5</v>
      </c>
      <c r="G35" s="25" t="s">
        <v>64</v>
      </c>
      <c r="H35" s="25">
        <f>1+2.78*C22/(C22+1400) + C23</f>
        <v>2.9908314011262007</v>
      </c>
    </row>
    <row r="36" spans="1:8" s="25" customFormat="1" x14ac:dyDescent="0.4">
      <c r="A36" s="23" t="s">
        <v>30</v>
      </c>
      <c r="B36" s="23">
        <f>B32 * H35 * E36</f>
        <v>167252.97527550947</v>
      </c>
      <c r="C36" s="25">
        <f>B36 * (1 + C10)</f>
        <v>372806.88188911061</v>
      </c>
      <c r="D36" s="24">
        <f>B36 * E10</f>
        <v>353279.26076081849</v>
      </c>
      <c r="E36" s="25">
        <v>2</v>
      </c>
    </row>
    <row r="37" spans="1:8" s="25" customFormat="1" x14ac:dyDescent="0.4">
      <c r="A37" s="23" t="s">
        <v>32</v>
      </c>
      <c r="B37" s="23">
        <f>B32 * H35 * E37</f>
        <v>167252.97527550947</v>
      </c>
      <c r="C37" s="25">
        <f>B37 * (1 + C10)</f>
        <v>372806.88188911061</v>
      </c>
      <c r="D37" s="24">
        <f>B37 * E10</f>
        <v>353279.26076081849</v>
      </c>
      <c r="E37" s="25">
        <v>2</v>
      </c>
    </row>
    <row r="38" spans="1:8" s="25" customFormat="1" x14ac:dyDescent="0.4">
      <c r="A38" s="23" t="s">
        <v>33</v>
      </c>
      <c r="B38" s="23">
        <f>B32 * H35 * E38</f>
        <v>125439.7314566321</v>
      </c>
      <c r="C38" s="25">
        <f>B38 * (1 + C10)</f>
        <v>279605.16141683294</v>
      </c>
      <c r="D38" s="24">
        <f>B38 * E10</f>
        <v>264959.4455706139</v>
      </c>
      <c r="E38" s="25">
        <v>1.5</v>
      </c>
    </row>
    <row r="39" spans="1:8" s="28" customFormat="1" x14ac:dyDescent="0.4">
      <c r="A39" s="26" t="s">
        <v>55</v>
      </c>
      <c r="B39" s="28">
        <f>(H39 * E39 + C24) * C14</f>
        <v>53968.134749588251</v>
      </c>
      <c r="C39" s="26">
        <f>B39*(1+C10)</f>
        <v>120294.97235683222</v>
      </c>
      <c r="D39" s="27">
        <f>B39*E10</f>
        <v>113993.92278414404</v>
      </c>
      <c r="E39" s="28">
        <v>3</v>
      </c>
      <c r="G39" s="29" t="s">
        <v>60</v>
      </c>
      <c r="H39" s="9">
        <f>E16 * (1 + 16 * C22 / (C22 + 2000) + C23)</f>
        <v>12526.540067915168</v>
      </c>
    </row>
    <row r="40" spans="1:8" s="28" customFormat="1" x14ac:dyDescent="0.4">
      <c r="A40" s="26" t="s">
        <v>51</v>
      </c>
      <c r="B40" s="28">
        <f>(H39 * E40 + C24) * C14</f>
        <v>50131.881853789222</v>
      </c>
      <c r="C40" s="26"/>
      <c r="D40" s="27"/>
      <c r="E40" s="28">
        <v>2.75</v>
      </c>
      <c r="G40" s="9"/>
      <c r="H40" s="9"/>
    </row>
    <row r="41" spans="1:8" x14ac:dyDescent="0.4">
      <c r="A41" s="6" t="s">
        <v>34</v>
      </c>
      <c r="B41" s="6">
        <f>(F6 * H41 + C24) * C14 * (1 + C25)</f>
        <v>85581.790461160563</v>
      </c>
      <c r="C41" s="6">
        <f>B41*(1+C10)</f>
        <v>190761.8109379269</v>
      </c>
      <c r="D41" s="15">
        <f>B41*E10</f>
        <v>180769.70899263411</v>
      </c>
      <c r="G41" s="9" t="s">
        <v>66</v>
      </c>
      <c r="H41" s="9">
        <f>1 + 6 * C22 / (C22 + 2000) + C23</f>
        <v>4.1841668969328545</v>
      </c>
    </row>
    <row r="42" spans="1:8" x14ac:dyDescent="0.4">
      <c r="A42" s="6" t="s">
        <v>35</v>
      </c>
      <c r="B42" s="6">
        <f>(F6 * H41 + C24) * C14 * (1 + C25)</f>
        <v>85581.790461160563</v>
      </c>
      <c r="C42" s="6">
        <f>B42 * (1 + C10)</f>
        <v>190761.8109379269</v>
      </c>
      <c r="D42" s="15">
        <f>B42 * E10</f>
        <v>180769.70899263411</v>
      </c>
    </row>
    <row r="43" spans="1:8" s="28" customFormat="1" x14ac:dyDescent="0.4">
      <c r="A43" s="26" t="s">
        <v>49</v>
      </c>
      <c r="B43" s="28">
        <f>(H39 * E43 + C24) * C14</f>
        <v>17140.106949917652</v>
      </c>
      <c r="C43" s="26"/>
      <c r="E43" s="28">
        <v>0.6</v>
      </c>
    </row>
    <row r="44" spans="1:8" s="28" customFormat="1" x14ac:dyDescent="0.4">
      <c r="A44" s="26" t="s">
        <v>48</v>
      </c>
      <c r="B44" s="28">
        <f>(H39 * E44 + C24) * C14</f>
        <v>30950.617374794125</v>
      </c>
      <c r="C44" s="26"/>
      <c r="E44" s="28">
        <v>1.5</v>
      </c>
    </row>
    <row r="45" spans="1:8" s="28" customFormat="1" x14ac:dyDescent="0.4">
      <c r="A45" s="26" t="s">
        <v>50</v>
      </c>
      <c r="B45" s="28">
        <f>(H39 * E45 + C24) * C14</f>
        <v>53968.134749588251</v>
      </c>
      <c r="C45" s="26"/>
      <c r="E45" s="28">
        <v>3</v>
      </c>
    </row>
    <row r="46" spans="1:8" s="28" customFormat="1" x14ac:dyDescent="0.4">
      <c r="A46" s="26" t="s">
        <v>52</v>
      </c>
      <c r="B46" s="28">
        <f>(H39 * E46 + C24) * C14</f>
        <v>38623.123166392164</v>
      </c>
      <c r="C46" s="26"/>
      <c r="E46" s="28">
        <v>2</v>
      </c>
    </row>
    <row r="47" spans="1:8" s="28" customFormat="1" x14ac:dyDescent="0.4">
      <c r="A47" s="26" t="s">
        <v>53</v>
      </c>
      <c r="B47" s="28">
        <f>(H39 * E47 + C24) * C14</f>
        <v>38623.123166392164</v>
      </c>
      <c r="C47" s="26">
        <f>B47 * (1 + C10)</f>
        <v>86090.941537888139</v>
      </c>
      <c r="D47" s="28">
        <f>B47 * E10</f>
        <v>81581.49879259603</v>
      </c>
      <c r="E47" s="28">
        <v>2</v>
      </c>
    </row>
    <row r="48" spans="1:8" s="28" customFormat="1" x14ac:dyDescent="0.4">
      <c r="A48" s="26" t="s">
        <v>54</v>
      </c>
      <c r="B48" s="28">
        <f>(H39 * E48 + C24) * C14</f>
        <v>53968.134749588251</v>
      </c>
      <c r="C48" s="26">
        <f>B48 * (1 + C10)</f>
        <v>120294.97235683222</v>
      </c>
      <c r="D48" s="28">
        <f>B48 * E10</f>
        <v>113993.92278414404</v>
      </c>
      <c r="E48" s="28">
        <v>3</v>
      </c>
    </row>
    <row r="49" spans="1:5" s="28" customFormat="1" x14ac:dyDescent="0.4">
      <c r="A49" s="26" t="s">
        <v>56</v>
      </c>
      <c r="B49" s="28">
        <f>(H39 * E49 + C24) * C14</f>
        <v>11769.35289579902</v>
      </c>
      <c r="C49" s="26">
        <f>B49*(1+C10)</f>
        <v>26233.887604736017</v>
      </c>
      <c r="D49" s="28">
        <f>B49*E10</f>
        <v>24859.756807387002</v>
      </c>
      <c r="E49" s="28">
        <v>0.25</v>
      </c>
    </row>
  </sheetData>
  <mergeCells count="8">
    <mergeCell ref="A26:A28"/>
    <mergeCell ref="A21:A25"/>
    <mergeCell ref="A1:A4"/>
    <mergeCell ref="A5:A6"/>
    <mergeCell ref="A11:A14"/>
    <mergeCell ref="A15:A20"/>
    <mergeCell ref="A9:A10"/>
    <mergeCell ref="A7:A8"/>
  </mergeCells>
  <phoneticPr fontId="1" type="noConversion"/>
  <dataValidations count="3">
    <dataValidation type="list" allowBlank="1" showInputMessage="1" showErrorMessage="1" sqref="B1 B3" xr:uid="{FC7C14E0-8B9D-40DB-AC67-5DC17D2DBC36}">
      <formula1>"攻击力,生命值,精通,防御力"</formula1>
    </dataValidation>
    <dataValidation type="list" allowBlank="1" showInputMessage="1" showErrorMessage="1" sqref="C21" xr:uid="{52710A9E-02FD-49F3-8BFF-07DA68D9744F}">
      <formula1>$A$32:$A$49</formula1>
    </dataValidation>
    <dataValidation type="list" allowBlank="1" showInputMessage="1" showErrorMessage="1" sqref="C16" xr:uid="{A47B1687-5706-40B9-8C70-D0D6127C4668}">
      <formula1>"90,100,95,89,88,87,86,85,84,83,82,81,80,79,78,77,76,75,74,73,72,71,70"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5ED81-B4CB-4B75-AAEF-50973AA6E278}">
  <sheetPr codeName="Sheet2"/>
  <dimension ref="A1:J49"/>
  <sheetViews>
    <sheetView topLeftCell="A19" workbookViewId="0">
      <selection activeCell="D42" sqref="D42"/>
    </sheetView>
  </sheetViews>
  <sheetFormatPr defaultRowHeight="13.9" x14ac:dyDescent="0.4"/>
  <cols>
    <col min="1" max="1" width="14.06640625" style="6" customWidth="1"/>
    <col min="2" max="2" width="16.46484375" style="6" customWidth="1"/>
    <col min="3" max="3" width="13.265625" customWidth="1"/>
    <col min="4" max="4" width="12.86328125" customWidth="1"/>
    <col min="5" max="5" width="19.265625" customWidth="1"/>
    <col min="6" max="6" width="13.6640625" customWidth="1"/>
    <col min="7" max="7" width="18.46484375" customWidth="1"/>
    <col min="8" max="8" width="10.46484375" customWidth="1"/>
  </cols>
  <sheetData>
    <row r="1" spans="1:10" x14ac:dyDescent="0.4">
      <c r="A1" s="5" t="s">
        <v>0</v>
      </c>
      <c r="B1" s="6" t="s">
        <v>4</v>
      </c>
      <c r="C1" s="17">
        <v>0</v>
      </c>
      <c r="D1" s="1"/>
      <c r="F1" s="1"/>
      <c r="G1" s="3"/>
      <c r="H1" s="1"/>
      <c r="J1" s="1"/>
    </row>
    <row r="2" spans="1:10" x14ac:dyDescent="0.4">
      <c r="A2" s="5"/>
      <c r="B2" s="6" t="s">
        <v>5</v>
      </c>
      <c r="C2" s="16">
        <f>9.452 + 3.4 * 2 + 1.2</f>
        <v>17.451999999999998</v>
      </c>
      <c r="G2" s="11"/>
    </row>
    <row r="3" spans="1:10" x14ac:dyDescent="0.4">
      <c r="A3" s="5"/>
      <c r="B3" s="6" t="s">
        <v>6</v>
      </c>
      <c r="C3" s="17">
        <v>1619</v>
      </c>
      <c r="D3" s="1"/>
      <c r="F3" s="1"/>
      <c r="H3" s="1"/>
      <c r="J3" s="1"/>
    </row>
    <row r="4" spans="1:10" x14ac:dyDescent="0.4">
      <c r="A4" s="5"/>
      <c r="B4" s="6" t="s">
        <v>5</v>
      </c>
      <c r="C4">
        <f>2.736 * 3</f>
        <v>8.2080000000000002</v>
      </c>
      <c r="F4" s="1"/>
    </row>
    <row r="5" spans="1:10" x14ac:dyDescent="0.4">
      <c r="A5" s="5" t="s">
        <v>1</v>
      </c>
      <c r="B5" s="6" t="s">
        <v>2</v>
      </c>
      <c r="C5">
        <v>0</v>
      </c>
    </row>
    <row r="6" spans="1:10" x14ac:dyDescent="0.4">
      <c r="A6" s="5"/>
      <c r="B6" s="6" t="s">
        <v>3</v>
      </c>
      <c r="C6">
        <v>0.14000000000000001</v>
      </c>
      <c r="E6" s="8" t="s">
        <v>37</v>
      </c>
      <c r="F6" s="9">
        <f>(C1 * C2 + C3 *  C4 + C5) * (1 + C6)</f>
        <v>15149.177280000002</v>
      </c>
    </row>
    <row r="7" spans="1:10" x14ac:dyDescent="0.4">
      <c r="A7" s="5" t="s">
        <v>7</v>
      </c>
      <c r="B7" s="6" t="s">
        <v>39</v>
      </c>
      <c r="C7">
        <v>2.1720000000000002</v>
      </c>
    </row>
    <row r="8" spans="1:10" x14ac:dyDescent="0.4">
      <c r="A8" s="4"/>
      <c r="B8" s="6" t="s">
        <v>38</v>
      </c>
      <c r="C8">
        <v>0</v>
      </c>
    </row>
    <row r="9" spans="1:10" x14ac:dyDescent="0.4">
      <c r="A9" s="7" t="s">
        <v>16</v>
      </c>
      <c r="B9" s="6" t="s">
        <v>18</v>
      </c>
      <c r="C9">
        <v>0.90500000000000003</v>
      </c>
    </row>
    <row r="10" spans="1:10" x14ac:dyDescent="0.4">
      <c r="A10" s="7"/>
      <c r="B10" s="6" t="s">
        <v>17</v>
      </c>
      <c r="C10">
        <v>1.2290000000000001</v>
      </c>
      <c r="D10" s="8" t="s">
        <v>22</v>
      </c>
      <c r="E10" s="9">
        <f>1 + C9 * C10</f>
        <v>2.1122450000000002</v>
      </c>
    </row>
    <row r="11" spans="1:10" x14ac:dyDescent="0.4">
      <c r="A11" s="5" t="s">
        <v>8</v>
      </c>
      <c r="B11" s="6" t="s">
        <v>9</v>
      </c>
      <c r="C11">
        <v>0.1</v>
      </c>
    </row>
    <row r="12" spans="1:10" x14ac:dyDescent="0.4">
      <c r="A12" s="5"/>
      <c r="B12" s="6" t="s">
        <v>10</v>
      </c>
      <c r="C12">
        <f>0.3+0.25</f>
        <v>0.55000000000000004</v>
      </c>
      <c r="F12" s="12" t="s">
        <v>25</v>
      </c>
      <c r="G12" s="12"/>
      <c r="H12" s="12"/>
    </row>
    <row r="13" spans="1:10" x14ac:dyDescent="0.4">
      <c r="A13" s="5"/>
      <c r="B13" s="6" t="s">
        <v>11</v>
      </c>
      <c r="C13">
        <v>0</v>
      </c>
    </row>
    <row r="14" spans="1:10" x14ac:dyDescent="0.4">
      <c r="A14" s="5"/>
      <c r="B14" s="13" t="s">
        <v>40</v>
      </c>
      <c r="C14" s="9">
        <f>IF(E14&lt;0,1-E14/2,IF(E14&lt;=0.75,1-E14,1/(4*E14+1)))</f>
        <v>1.2250000000000001</v>
      </c>
      <c r="D14" s="10" t="s">
        <v>21</v>
      </c>
      <c r="E14" s="9">
        <f>C11 - C12 + C13</f>
        <v>-0.45000000000000007</v>
      </c>
    </row>
    <row r="15" spans="1:10" x14ac:dyDescent="0.4">
      <c r="A15" s="5" t="s">
        <v>12</v>
      </c>
      <c r="B15" s="6" t="s">
        <v>13</v>
      </c>
      <c r="C15">
        <v>110</v>
      </c>
    </row>
    <row r="16" spans="1:10" x14ac:dyDescent="0.4">
      <c r="A16" s="5"/>
      <c r="B16" s="6" t="s">
        <v>19</v>
      </c>
      <c r="C16">
        <v>90</v>
      </c>
      <c r="D16" s="8" t="s">
        <v>23</v>
      </c>
      <c r="E16" s="9">
        <f>VLOOKUP(C16,等级系数对照表!A:C,2,0)</f>
        <v>1446.8538579999999</v>
      </c>
      <c r="F16" s="9" t="s">
        <v>24</v>
      </c>
      <c r="G16" s="9">
        <f>VLOOKUP(C16,等级系数对照表!A:C,3,0)</f>
        <v>1851.060358</v>
      </c>
    </row>
    <row r="17" spans="1:6" x14ac:dyDescent="0.4">
      <c r="A17" s="5"/>
      <c r="B17" s="6" t="s">
        <v>14</v>
      </c>
      <c r="C17">
        <v>0</v>
      </c>
      <c r="D17" t="s">
        <v>20</v>
      </c>
    </row>
    <row r="18" spans="1:6" x14ac:dyDescent="0.4">
      <c r="A18" s="5"/>
      <c r="B18" s="6" t="s">
        <v>46</v>
      </c>
      <c r="C18">
        <v>0</v>
      </c>
      <c r="D18" t="s">
        <v>47</v>
      </c>
    </row>
    <row r="19" spans="1:6" x14ac:dyDescent="0.4">
      <c r="A19" s="5"/>
      <c r="B19" s="6" t="s">
        <v>15</v>
      </c>
    </row>
    <row r="20" spans="1:6" x14ac:dyDescent="0.4">
      <c r="A20" s="5"/>
      <c r="B20" s="13" t="s">
        <v>41</v>
      </c>
      <c r="C20" s="9">
        <f>IF(F21=1,1,(C16+100)/((C16+100)+(C15+100)*(1-C17+C19)*(1-C18)))</f>
        <v>0.47499999999999998</v>
      </c>
    </row>
    <row r="21" spans="1:6" x14ac:dyDescent="0.4">
      <c r="A21" s="5" t="s">
        <v>26</v>
      </c>
      <c r="B21" s="6" t="s">
        <v>43</v>
      </c>
      <c r="C21" s="1" t="s">
        <v>31</v>
      </c>
      <c r="E21" s="8"/>
      <c r="F21" s="9"/>
    </row>
    <row r="22" spans="1:6" x14ac:dyDescent="0.4">
      <c r="A22" s="2"/>
      <c r="B22" s="6" t="s">
        <v>44</v>
      </c>
      <c r="C22">
        <v>1619</v>
      </c>
    </row>
    <row r="23" spans="1:6" x14ac:dyDescent="0.4">
      <c r="A23" s="2"/>
      <c r="B23" s="6" t="s">
        <v>61</v>
      </c>
      <c r="C23">
        <v>0.5</v>
      </c>
    </row>
    <row r="24" spans="1:6" x14ac:dyDescent="0.4">
      <c r="A24" s="2"/>
      <c r="B24" s="6" t="s">
        <v>57</v>
      </c>
      <c r="C24">
        <f>1619*4</f>
        <v>6476</v>
      </c>
      <c r="D24" t="s">
        <v>62</v>
      </c>
    </row>
    <row r="25" spans="1:6" x14ac:dyDescent="0.4">
      <c r="A25" s="2"/>
      <c r="B25" s="6" t="s">
        <v>59</v>
      </c>
      <c r="C25">
        <v>0</v>
      </c>
    </row>
    <row r="26" spans="1:6" x14ac:dyDescent="0.4">
      <c r="A26" s="18" t="s">
        <v>45</v>
      </c>
      <c r="B26" s="14" t="s">
        <v>63</v>
      </c>
      <c r="C26" s="12">
        <f>VLOOKUP(C21,A:D, 2,0)</f>
        <v>167252.97527550947</v>
      </c>
    </row>
    <row r="27" spans="1:6" x14ac:dyDescent="0.4">
      <c r="A27" s="18"/>
      <c r="B27" s="14" t="s">
        <v>42</v>
      </c>
      <c r="C27" s="12">
        <f>VLOOKUP(C21,A:D, 3,0)</f>
        <v>372806.88188911061</v>
      </c>
    </row>
    <row r="28" spans="1:6" x14ac:dyDescent="0.4">
      <c r="A28" s="19"/>
      <c r="B28" s="14" t="s">
        <v>22</v>
      </c>
      <c r="C28" s="12">
        <f>VLOOKUP(C21,A:D, 4,0)</f>
        <v>353279.26076081849</v>
      </c>
    </row>
    <row r="31" spans="1:6" x14ac:dyDescent="0.4">
      <c r="B31" s="6" t="s">
        <v>63</v>
      </c>
      <c r="C31" s="6" t="s">
        <v>42</v>
      </c>
      <c r="D31" s="6" t="s">
        <v>22</v>
      </c>
      <c r="E31" s="6" t="s">
        <v>58</v>
      </c>
      <c r="F31" s="6"/>
    </row>
    <row r="32" spans="1:6" x14ac:dyDescent="0.4">
      <c r="A32" s="6" t="s">
        <v>36</v>
      </c>
      <c r="B32" s="6">
        <f>F6 * (1 + C7 - C8)* C14 * C20</f>
        <v>27960.950124525607</v>
      </c>
      <c r="C32">
        <f>B32 * (1 +C10)</f>
        <v>62324.957827567581</v>
      </c>
      <c r="D32" s="6">
        <f>B32 * E10</f>
        <v>59060.377095778596</v>
      </c>
    </row>
    <row r="33" spans="1:8" s="22" customFormat="1" x14ac:dyDescent="0.4">
      <c r="A33" s="20" t="s">
        <v>27</v>
      </c>
      <c r="B33" s="20">
        <f>(F6 + E16 * 1.15 * H33) * (1 + C7 - C8) * C14 * C20</f>
        <v>41386.261820968532</v>
      </c>
      <c r="C33" s="22">
        <f>B33 * (1 + C10)</f>
        <v>92249.977598938858</v>
      </c>
      <c r="D33" s="21">
        <f>B33 * E10</f>
        <v>87417.924600031678</v>
      </c>
      <c r="E33" s="22">
        <v>1.1499999999999999</v>
      </c>
      <c r="G33" s="22" t="s">
        <v>65</v>
      </c>
      <c r="H33" s="22">
        <f>1 + 5 * C22 / (C22 + 1200) + C23</f>
        <v>4.3715856686768362</v>
      </c>
    </row>
    <row r="34" spans="1:8" s="22" customFormat="1" x14ac:dyDescent="0.4">
      <c r="A34" s="20" t="s">
        <v>28</v>
      </c>
      <c r="B34" s="20">
        <f>(F6 + E16 * 1.25 *H33) * (1 + C7 - C8) * C14 * C20</f>
        <v>42553.680229354883</v>
      </c>
      <c r="C34" s="22">
        <f>B34 * (1 + C10)</f>
        <v>94852.153231232034</v>
      </c>
      <c r="D34" s="21">
        <f>B34 * E10</f>
        <v>89883.798296053705</v>
      </c>
      <c r="E34" s="22">
        <v>1.25</v>
      </c>
    </row>
    <row r="35" spans="1:8" s="25" customFormat="1" x14ac:dyDescent="0.4">
      <c r="A35" s="23" t="s">
        <v>29</v>
      </c>
      <c r="B35" s="23">
        <f>B32 * H35 * E35</f>
        <v>125439.7314566321</v>
      </c>
      <c r="C35" s="25">
        <f>B35 * (1 + C10)</f>
        <v>279605.16141683294</v>
      </c>
      <c r="D35" s="24">
        <f>B35 * E10</f>
        <v>264959.4455706139</v>
      </c>
      <c r="E35" s="25">
        <v>1.5</v>
      </c>
      <c r="G35" s="25" t="s">
        <v>64</v>
      </c>
      <c r="H35" s="25">
        <f>1+2.78*C22/(C22+1400) + C23</f>
        <v>2.9908314011262007</v>
      </c>
    </row>
    <row r="36" spans="1:8" s="25" customFormat="1" x14ac:dyDescent="0.4">
      <c r="A36" s="23" t="s">
        <v>30</v>
      </c>
      <c r="B36" s="23">
        <f>B32 * H35 * E36</f>
        <v>167252.97527550947</v>
      </c>
      <c r="C36" s="25">
        <f>B36 * (1 + C10)</f>
        <v>372806.88188911061</v>
      </c>
      <c r="D36" s="24">
        <f>B36 * E10</f>
        <v>353279.26076081849</v>
      </c>
      <c r="E36" s="25">
        <v>2</v>
      </c>
    </row>
    <row r="37" spans="1:8" s="25" customFormat="1" x14ac:dyDescent="0.4">
      <c r="A37" s="23" t="s">
        <v>32</v>
      </c>
      <c r="B37" s="23">
        <f>B32 * H35 * E37</f>
        <v>167252.97527550947</v>
      </c>
      <c r="C37" s="25">
        <f>B37 * (1 + C10)</f>
        <v>372806.88188911061</v>
      </c>
      <c r="D37" s="24">
        <f>B37 * E10</f>
        <v>353279.26076081849</v>
      </c>
      <c r="E37" s="25">
        <v>2</v>
      </c>
    </row>
    <row r="38" spans="1:8" s="25" customFormat="1" x14ac:dyDescent="0.4">
      <c r="A38" s="23" t="s">
        <v>33</v>
      </c>
      <c r="B38" s="23">
        <f>B32 * H35 * E38</f>
        <v>125439.7314566321</v>
      </c>
      <c r="C38" s="25">
        <f>B38 * (1 + C10)</f>
        <v>279605.16141683294</v>
      </c>
      <c r="D38" s="24">
        <f>B38 * E10</f>
        <v>264959.4455706139</v>
      </c>
      <c r="E38" s="25">
        <v>1.5</v>
      </c>
    </row>
    <row r="39" spans="1:8" s="28" customFormat="1" x14ac:dyDescent="0.4">
      <c r="A39" s="26" t="s">
        <v>55</v>
      </c>
      <c r="B39" s="28">
        <f>(H39 * E39 + C24) * C14</f>
        <v>53968.134749588251</v>
      </c>
      <c r="C39" s="26">
        <f>B39*(1+C10)</f>
        <v>120294.97235683222</v>
      </c>
      <c r="D39" s="27">
        <f>B39*E10</f>
        <v>113993.92278414404</v>
      </c>
      <c r="E39" s="28">
        <v>3</v>
      </c>
      <c r="G39" s="29" t="s">
        <v>60</v>
      </c>
      <c r="H39" s="9">
        <f>E16 * (1 + 16 * C22 / (C22 + 2000) + C23)</f>
        <v>12526.540067915168</v>
      </c>
    </row>
    <row r="40" spans="1:8" s="28" customFormat="1" x14ac:dyDescent="0.4">
      <c r="A40" s="26" t="s">
        <v>51</v>
      </c>
      <c r="B40" s="28">
        <f>(H39 * E40 + C24) * C14</f>
        <v>50131.881853789222</v>
      </c>
      <c r="C40" s="26"/>
      <c r="D40" s="27"/>
      <c r="E40" s="28">
        <v>2.75</v>
      </c>
      <c r="G40" s="9"/>
      <c r="H40" s="9"/>
    </row>
    <row r="41" spans="1:8" x14ac:dyDescent="0.4">
      <c r="A41" s="6" t="s">
        <v>34</v>
      </c>
      <c r="B41" s="6">
        <f>(F6 * H41 + C24) * C14 * (1 + C25)</f>
        <v>85581.790461160563</v>
      </c>
      <c r="C41" s="6">
        <f>B41*(1+C10)</f>
        <v>190761.8109379269</v>
      </c>
      <c r="D41" s="15">
        <f>B41*E10</f>
        <v>180769.70899263411</v>
      </c>
      <c r="G41" s="9" t="s">
        <v>66</v>
      </c>
      <c r="H41" s="9">
        <f>1 + 6 * C22 / (C22 + 2000) + C23</f>
        <v>4.1841668969328545</v>
      </c>
    </row>
    <row r="42" spans="1:8" x14ac:dyDescent="0.4">
      <c r="A42" s="6" t="s">
        <v>35</v>
      </c>
      <c r="B42" s="6">
        <f>(F6 * H41 + C24) * C14 * (1 + C25)</f>
        <v>85581.790461160563</v>
      </c>
      <c r="C42" s="6">
        <f>B42 * (1 + C10)</f>
        <v>190761.8109379269</v>
      </c>
      <c r="D42" s="15">
        <f>B42 * E10</f>
        <v>180769.70899263411</v>
      </c>
    </row>
    <row r="43" spans="1:8" s="28" customFormat="1" x14ac:dyDescent="0.4">
      <c r="A43" s="26" t="s">
        <v>49</v>
      </c>
      <c r="B43" s="28">
        <f>(H39 * E43 + C24) * C14</f>
        <v>17140.106949917652</v>
      </c>
      <c r="C43" s="26"/>
      <c r="E43" s="28">
        <v>0.6</v>
      </c>
    </row>
    <row r="44" spans="1:8" s="28" customFormat="1" x14ac:dyDescent="0.4">
      <c r="A44" s="26" t="s">
        <v>48</v>
      </c>
      <c r="B44" s="28">
        <f>(H39 * E44 + C24) * C14</f>
        <v>30950.617374794125</v>
      </c>
      <c r="C44" s="26"/>
      <c r="E44" s="28">
        <v>1.5</v>
      </c>
    </row>
    <row r="45" spans="1:8" s="28" customFormat="1" x14ac:dyDescent="0.4">
      <c r="A45" s="26" t="s">
        <v>50</v>
      </c>
      <c r="B45" s="28">
        <f>(H39 * E45 + C24) * C14</f>
        <v>53968.134749588251</v>
      </c>
      <c r="C45" s="26"/>
      <c r="E45" s="28">
        <v>3</v>
      </c>
    </row>
    <row r="46" spans="1:8" s="28" customFormat="1" x14ac:dyDescent="0.4">
      <c r="A46" s="26" t="s">
        <v>52</v>
      </c>
      <c r="B46" s="28">
        <f>(H39 * E46 + C24) * C14</f>
        <v>38623.123166392164</v>
      </c>
      <c r="C46" s="26"/>
      <c r="E46" s="28">
        <v>2</v>
      </c>
    </row>
    <row r="47" spans="1:8" s="28" customFormat="1" x14ac:dyDescent="0.4">
      <c r="A47" s="26" t="s">
        <v>53</v>
      </c>
      <c r="B47" s="28">
        <f>(H39 * E47 + C24) * C14</f>
        <v>38623.123166392164</v>
      </c>
      <c r="C47" s="26">
        <f>B47 * (1 + C10)</f>
        <v>86090.941537888139</v>
      </c>
      <c r="D47" s="28">
        <f>B47 * E10</f>
        <v>81581.49879259603</v>
      </c>
      <c r="E47" s="28">
        <v>2</v>
      </c>
    </row>
    <row r="48" spans="1:8" s="28" customFormat="1" x14ac:dyDescent="0.4">
      <c r="A48" s="26" t="s">
        <v>54</v>
      </c>
      <c r="B48" s="28">
        <f>(H39 * E48 + C24) * C14</f>
        <v>53968.134749588251</v>
      </c>
      <c r="C48" s="26">
        <f>B48 * (1 + C10)</f>
        <v>120294.97235683222</v>
      </c>
      <c r="D48" s="28">
        <f>B48 * E10</f>
        <v>113993.92278414404</v>
      </c>
      <c r="E48" s="28">
        <v>3</v>
      </c>
    </row>
    <row r="49" spans="1:5" s="28" customFormat="1" x14ac:dyDescent="0.4">
      <c r="A49" s="26" t="s">
        <v>56</v>
      </c>
      <c r="B49" s="28">
        <f>(H39 * E49 + C24) * C14</f>
        <v>11769.35289579902</v>
      </c>
      <c r="C49" s="26">
        <f>B49*(1+C10)</f>
        <v>26233.887604736017</v>
      </c>
      <c r="D49" s="28">
        <f>B49*E10</f>
        <v>24859.756807387002</v>
      </c>
      <c r="E49" s="28">
        <v>0.25</v>
      </c>
    </row>
  </sheetData>
  <mergeCells count="8">
    <mergeCell ref="A21:A25"/>
    <mergeCell ref="A26:A28"/>
    <mergeCell ref="A1:A4"/>
    <mergeCell ref="A5:A6"/>
    <mergeCell ref="A7:A8"/>
    <mergeCell ref="A9:A10"/>
    <mergeCell ref="A11:A14"/>
    <mergeCell ref="A15:A20"/>
  </mergeCells>
  <phoneticPr fontId="1" type="noConversion"/>
  <dataValidations count="3">
    <dataValidation type="list" allowBlank="1" showInputMessage="1" showErrorMessage="1" sqref="C16" xr:uid="{E61BCE63-FB5D-4359-ACB3-CBD976707FAD}">
      <formula1>"90,100,95,89,88,87,86,85,84,83,82,81,80,79,78,77,76,75,74,73,72,71,70"</formula1>
    </dataValidation>
    <dataValidation type="list" allowBlank="1" showInputMessage="1" showErrorMessage="1" sqref="C21" xr:uid="{B98967E0-2BB1-4CA3-8BA9-93C4284A627D}">
      <formula1>$A$32:$A$49</formula1>
    </dataValidation>
    <dataValidation type="list" allowBlank="1" showInputMessage="1" showErrorMessage="1" sqref="B1 B3" xr:uid="{BC38D9CF-8A02-432B-9292-540D48E08D75}">
      <formula1>"攻击力,生命值,精通,防御力"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9B301-A8F5-4540-9B93-C09CB461E4F4}">
  <sheetPr codeName="Sheet3"/>
  <dimension ref="A1:J49"/>
  <sheetViews>
    <sheetView topLeftCell="A19" workbookViewId="0">
      <selection activeCell="D42" sqref="D42"/>
    </sheetView>
  </sheetViews>
  <sheetFormatPr defaultRowHeight="13.9" x14ac:dyDescent="0.4"/>
  <cols>
    <col min="1" max="1" width="14.06640625" style="6" customWidth="1"/>
    <col min="2" max="2" width="16.46484375" style="6" customWidth="1"/>
    <col min="3" max="3" width="13.265625" customWidth="1"/>
    <col min="4" max="4" width="12.86328125" customWidth="1"/>
    <col min="5" max="5" width="19.265625" customWidth="1"/>
    <col min="6" max="6" width="13.6640625" customWidth="1"/>
    <col min="7" max="7" width="18.46484375" customWidth="1"/>
    <col min="8" max="8" width="10.46484375" customWidth="1"/>
  </cols>
  <sheetData>
    <row r="1" spans="1:10" x14ac:dyDescent="0.4">
      <c r="A1" s="5" t="s">
        <v>0</v>
      </c>
      <c r="B1" s="6" t="s">
        <v>4</v>
      </c>
      <c r="C1" s="17">
        <v>0</v>
      </c>
      <c r="D1" s="1"/>
      <c r="F1" s="1"/>
      <c r="G1" s="3"/>
      <c r="H1" s="1"/>
      <c r="J1" s="1"/>
    </row>
    <row r="2" spans="1:10" x14ac:dyDescent="0.4">
      <c r="A2" s="5"/>
      <c r="B2" s="6" t="s">
        <v>5</v>
      </c>
      <c r="C2" s="16">
        <f>9.452 + 3.4 * 2 + 1.2</f>
        <v>17.451999999999998</v>
      </c>
      <c r="G2" s="11"/>
    </row>
    <row r="3" spans="1:10" x14ac:dyDescent="0.4">
      <c r="A3" s="5"/>
      <c r="B3" s="6" t="s">
        <v>6</v>
      </c>
      <c r="C3" s="17">
        <v>1619</v>
      </c>
      <c r="D3" s="1"/>
      <c r="F3" s="1"/>
      <c r="H3" s="1"/>
      <c r="J3" s="1"/>
    </row>
    <row r="4" spans="1:10" x14ac:dyDescent="0.4">
      <c r="A4" s="5"/>
      <c r="B4" s="6" t="s">
        <v>5</v>
      </c>
      <c r="C4">
        <f>2.736 * 3</f>
        <v>8.2080000000000002</v>
      </c>
      <c r="F4" s="1"/>
    </row>
    <row r="5" spans="1:10" x14ac:dyDescent="0.4">
      <c r="A5" s="5" t="s">
        <v>1</v>
      </c>
      <c r="B5" s="6" t="s">
        <v>2</v>
      </c>
      <c r="C5">
        <v>0</v>
      </c>
    </row>
    <row r="6" spans="1:10" x14ac:dyDescent="0.4">
      <c r="A6" s="5"/>
      <c r="B6" s="6" t="s">
        <v>3</v>
      </c>
      <c r="C6">
        <v>0.14000000000000001</v>
      </c>
      <c r="E6" s="8" t="s">
        <v>37</v>
      </c>
      <c r="F6" s="9">
        <f>(C1 * C2 + C3 *  C4 + C5) * (1 + C6)</f>
        <v>15149.177280000002</v>
      </c>
    </row>
    <row r="7" spans="1:10" x14ac:dyDescent="0.4">
      <c r="A7" s="5" t="s">
        <v>7</v>
      </c>
      <c r="B7" s="6" t="s">
        <v>39</v>
      </c>
      <c r="C7">
        <v>2.1720000000000002</v>
      </c>
    </row>
    <row r="8" spans="1:10" x14ac:dyDescent="0.4">
      <c r="A8" s="4"/>
      <c r="B8" s="6" t="s">
        <v>38</v>
      </c>
      <c r="C8">
        <v>0</v>
      </c>
    </row>
    <row r="9" spans="1:10" x14ac:dyDescent="0.4">
      <c r="A9" s="7" t="s">
        <v>16</v>
      </c>
      <c r="B9" s="6" t="s">
        <v>18</v>
      </c>
      <c r="C9">
        <v>0.90500000000000003</v>
      </c>
    </row>
    <row r="10" spans="1:10" x14ac:dyDescent="0.4">
      <c r="A10" s="7"/>
      <c r="B10" s="6" t="s">
        <v>17</v>
      </c>
      <c r="C10">
        <v>1.2290000000000001</v>
      </c>
      <c r="D10" s="8" t="s">
        <v>22</v>
      </c>
      <c r="E10" s="9">
        <f>1 + C9 * C10</f>
        <v>2.1122450000000002</v>
      </c>
    </row>
    <row r="11" spans="1:10" x14ac:dyDescent="0.4">
      <c r="A11" s="5" t="s">
        <v>8</v>
      </c>
      <c r="B11" s="6" t="s">
        <v>9</v>
      </c>
      <c r="C11">
        <v>0.1</v>
      </c>
    </row>
    <row r="12" spans="1:10" x14ac:dyDescent="0.4">
      <c r="A12" s="5"/>
      <c r="B12" s="6" t="s">
        <v>10</v>
      </c>
      <c r="C12">
        <f>0.3+0.25</f>
        <v>0.55000000000000004</v>
      </c>
      <c r="F12" s="12" t="s">
        <v>25</v>
      </c>
      <c r="G12" s="12"/>
      <c r="H12" s="12"/>
    </row>
    <row r="13" spans="1:10" x14ac:dyDescent="0.4">
      <c r="A13" s="5"/>
      <c r="B13" s="6" t="s">
        <v>11</v>
      </c>
      <c r="C13">
        <v>0</v>
      </c>
    </row>
    <row r="14" spans="1:10" x14ac:dyDescent="0.4">
      <c r="A14" s="5"/>
      <c r="B14" s="13" t="s">
        <v>40</v>
      </c>
      <c r="C14" s="9">
        <f>IF(E14&lt;0,1-E14/2,IF(E14&lt;=0.75,1-E14,1/(4*E14+1)))</f>
        <v>1.2250000000000001</v>
      </c>
      <c r="D14" s="10" t="s">
        <v>21</v>
      </c>
      <c r="E14" s="9">
        <f>C11 - C12 + C13</f>
        <v>-0.45000000000000007</v>
      </c>
    </row>
    <row r="15" spans="1:10" x14ac:dyDescent="0.4">
      <c r="A15" s="5" t="s">
        <v>12</v>
      </c>
      <c r="B15" s="6" t="s">
        <v>13</v>
      </c>
      <c r="C15">
        <v>110</v>
      </c>
    </row>
    <row r="16" spans="1:10" x14ac:dyDescent="0.4">
      <c r="A16" s="5"/>
      <c r="B16" s="6" t="s">
        <v>19</v>
      </c>
      <c r="C16">
        <v>90</v>
      </c>
      <c r="D16" s="8" t="s">
        <v>23</v>
      </c>
      <c r="E16" s="9">
        <f>VLOOKUP(C16,等级系数对照表!A:C,2,0)</f>
        <v>1446.8538579999999</v>
      </c>
      <c r="F16" s="9" t="s">
        <v>24</v>
      </c>
      <c r="G16" s="9">
        <f>VLOOKUP(C16,等级系数对照表!A:C,3,0)</f>
        <v>1851.060358</v>
      </c>
    </row>
    <row r="17" spans="1:6" x14ac:dyDescent="0.4">
      <c r="A17" s="5"/>
      <c r="B17" s="6" t="s">
        <v>14</v>
      </c>
      <c r="C17">
        <v>0</v>
      </c>
      <c r="D17" t="s">
        <v>20</v>
      </c>
    </row>
    <row r="18" spans="1:6" x14ac:dyDescent="0.4">
      <c r="A18" s="5"/>
      <c r="B18" s="6" t="s">
        <v>46</v>
      </c>
      <c r="C18">
        <v>0</v>
      </c>
      <c r="D18" t="s">
        <v>47</v>
      </c>
    </row>
    <row r="19" spans="1:6" x14ac:dyDescent="0.4">
      <c r="A19" s="5"/>
      <c r="B19" s="6" t="s">
        <v>15</v>
      </c>
    </row>
    <row r="20" spans="1:6" x14ac:dyDescent="0.4">
      <c r="A20" s="5"/>
      <c r="B20" s="13" t="s">
        <v>41</v>
      </c>
      <c r="C20" s="9">
        <f>IF(F21=1,1,(C16+100)/((C16+100)+(C15+100)*(1-C17+C19)*(1-C18)))</f>
        <v>0.47499999999999998</v>
      </c>
    </row>
    <row r="21" spans="1:6" x14ac:dyDescent="0.4">
      <c r="A21" s="5" t="s">
        <v>26</v>
      </c>
      <c r="B21" s="6" t="s">
        <v>43</v>
      </c>
      <c r="C21" s="1" t="s">
        <v>31</v>
      </c>
      <c r="E21" s="8"/>
      <c r="F21" s="9"/>
    </row>
    <row r="22" spans="1:6" x14ac:dyDescent="0.4">
      <c r="A22" s="2"/>
      <c r="B22" s="6" t="s">
        <v>44</v>
      </c>
      <c r="C22">
        <v>1619</v>
      </c>
    </row>
    <row r="23" spans="1:6" x14ac:dyDescent="0.4">
      <c r="A23" s="2"/>
      <c r="B23" s="6" t="s">
        <v>61</v>
      </c>
      <c r="C23">
        <v>0.5</v>
      </c>
    </row>
    <row r="24" spans="1:6" x14ac:dyDescent="0.4">
      <c r="A24" s="2"/>
      <c r="B24" s="6" t="s">
        <v>57</v>
      </c>
      <c r="C24">
        <f>1619*4</f>
        <v>6476</v>
      </c>
      <c r="D24" t="s">
        <v>62</v>
      </c>
    </row>
    <row r="25" spans="1:6" x14ac:dyDescent="0.4">
      <c r="A25" s="2"/>
      <c r="B25" s="6" t="s">
        <v>59</v>
      </c>
      <c r="C25">
        <v>0</v>
      </c>
    </row>
    <row r="26" spans="1:6" x14ac:dyDescent="0.4">
      <c r="A26" s="18" t="s">
        <v>45</v>
      </c>
      <c r="B26" s="14" t="s">
        <v>63</v>
      </c>
      <c r="C26" s="12">
        <f>VLOOKUP(C21,A:D, 2,0)</f>
        <v>167252.97527550947</v>
      </c>
    </row>
    <row r="27" spans="1:6" x14ac:dyDescent="0.4">
      <c r="A27" s="18"/>
      <c r="B27" s="14" t="s">
        <v>42</v>
      </c>
      <c r="C27" s="12">
        <f>VLOOKUP(C21,A:D, 3,0)</f>
        <v>372806.88188911061</v>
      </c>
    </row>
    <row r="28" spans="1:6" x14ac:dyDescent="0.4">
      <c r="A28" s="19"/>
      <c r="B28" s="14" t="s">
        <v>22</v>
      </c>
      <c r="C28" s="12">
        <f>VLOOKUP(C21,A:D, 4,0)</f>
        <v>353279.26076081849</v>
      </c>
    </row>
    <row r="31" spans="1:6" x14ac:dyDescent="0.4">
      <c r="B31" s="6" t="s">
        <v>63</v>
      </c>
      <c r="C31" s="6" t="s">
        <v>42</v>
      </c>
      <c r="D31" s="6" t="s">
        <v>22</v>
      </c>
      <c r="E31" s="6" t="s">
        <v>58</v>
      </c>
      <c r="F31" s="6"/>
    </row>
    <row r="32" spans="1:6" x14ac:dyDescent="0.4">
      <c r="A32" s="6" t="s">
        <v>36</v>
      </c>
      <c r="B32" s="6">
        <f>F6 * (1 + C7 - C8)* C14 * C20</f>
        <v>27960.950124525607</v>
      </c>
      <c r="C32">
        <f>B32 * (1 +C10)</f>
        <v>62324.957827567581</v>
      </c>
      <c r="D32" s="6">
        <f>B32 * E10</f>
        <v>59060.377095778596</v>
      </c>
    </row>
    <row r="33" spans="1:8" s="22" customFormat="1" x14ac:dyDescent="0.4">
      <c r="A33" s="20" t="s">
        <v>27</v>
      </c>
      <c r="B33" s="20">
        <f>(F6 + E16 * 1.15 * H33) * (1 + C7 - C8) * C14 * C20</f>
        <v>41386.261820968532</v>
      </c>
      <c r="C33" s="22">
        <f>B33 * (1 + C10)</f>
        <v>92249.977598938858</v>
      </c>
      <c r="D33" s="21">
        <f>B33 * E10</f>
        <v>87417.924600031678</v>
      </c>
      <c r="E33" s="22">
        <v>1.1499999999999999</v>
      </c>
      <c r="G33" s="22" t="s">
        <v>65</v>
      </c>
      <c r="H33" s="22">
        <f>1 + 5 * C22 / (C22 + 1200) + C23</f>
        <v>4.3715856686768362</v>
      </c>
    </row>
    <row r="34" spans="1:8" s="22" customFormat="1" x14ac:dyDescent="0.4">
      <c r="A34" s="20" t="s">
        <v>28</v>
      </c>
      <c r="B34" s="20">
        <f>(F6 + E16 * 1.25 *H33) * (1 + C7 - C8) * C14 * C20</f>
        <v>42553.680229354883</v>
      </c>
      <c r="C34" s="22">
        <f>B34 * (1 + C10)</f>
        <v>94852.153231232034</v>
      </c>
      <c r="D34" s="21">
        <f>B34 * E10</f>
        <v>89883.798296053705</v>
      </c>
      <c r="E34" s="22">
        <v>1.25</v>
      </c>
    </row>
    <row r="35" spans="1:8" s="25" customFormat="1" x14ac:dyDescent="0.4">
      <c r="A35" s="23" t="s">
        <v>29</v>
      </c>
      <c r="B35" s="23">
        <f>B32 * H35 * E35</f>
        <v>125439.7314566321</v>
      </c>
      <c r="C35" s="25">
        <f>B35 * (1 + C10)</f>
        <v>279605.16141683294</v>
      </c>
      <c r="D35" s="24">
        <f>B35 * E10</f>
        <v>264959.4455706139</v>
      </c>
      <c r="E35" s="25">
        <v>1.5</v>
      </c>
      <c r="G35" s="25" t="s">
        <v>64</v>
      </c>
      <c r="H35" s="25">
        <f>1+2.78*C22/(C22+1400) + C23</f>
        <v>2.9908314011262007</v>
      </c>
    </row>
    <row r="36" spans="1:8" s="25" customFormat="1" x14ac:dyDescent="0.4">
      <c r="A36" s="23" t="s">
        <v>30</v>
      </c>
      <c r="B36" s="23">
        <f>B32 * H35 * E36</f>
        <v>167252.97527550947</v>
      </c>
      <c r="C36" s="25">
        <f>B36 * (1 + C10)</f>
        <v>372806.88188911061</v>
      </c>
      <c r="D36" s="24">
        <f>B36 * E10</f>
        <v>353279.26076081849</v>
      </c>
      <c r="E36" s="25">
        <v>2</v>
      </c>
    </row>
    <row r="37" spans="1:8" s="25" customFormat="1" x14ac:dyDescent="0.4">
      <c r="A37" s="23" t="s">
        <v>32</v>
      </c>
      <c r="B37" s="23">
        <f>B32 * H35 * E37</f>
        <v>167252.97527550947</v>
      </c>
      <c r="C37" s="25">
        <f>B37 * (1 + C10)</f>
        <v>372806.88188911061</v>
      </c>
      <c r="D37" s="24">
        <f>B37 * E10</f>
        <v>353279.26076081849</v>
      </c>
      <c r="E37" s="25">
        <v>2</v>
      </c>
    </row>
    <row r="38" spans="1:8" s="25" customFormat="1" x14ac:dyDescent="0.4">
      <c r="A38" s="23" t="s">
        <v>33</v>
      </c>
      <c r="B38" s="23">
        <f>B32 * H35 * E38</f>
        <v>125439.7314566321</v>
      </c>
      <c r="C38" s="25">
        <f>B38 * (1 + C10)</f>
        <v>279605.16141683294</v>
      </c>
      <c r="D38" s="24">
        <f>B38 * E10</f>
        <v>264959.4455706139</v>
      </c>
      <c r="E38" s="25">
        <v>1.5</v>
      </c>
    </row>
    <row r="39" spans="1:8" s="28" customFormat="1" x14ac:dyDescent="0.4">
      <c r="A39" s="26" t="s">
        <v>55</v>
      </c>
      <c r="B39" s="28">
        <f>(H39 * E39 + C24) * C14</f>
        <v>53968.134749588251</v>
      </c>
      <c r="C39" s="26">
        <f>B39*(1+C10)</f>
        <v>120294.97235683222</v>
      </c>
      <c r="D39" s="27">
        <f>B39*E10</f>
        <v>113993.92278414404</v>
      </c>
      <c r="E39" s="28">
        <v>3</v>
      </c>
      <c r="G39" s="29" t="s">
        <v>60</v>
      </c>
      <c r="H39" s="9">
        <f>E16 * (1 + 16 * C22 / (C22 + 2000) + C23)</f>
        <v>12526.540067915168</v>
      </c>
    </row>
    <row r="40" spans="1:8" s="28" customFormat="1" x14ac:dyDescent="0.4">
      <c r="A40" s="26" t="s">
        <v>51</v>
      </c>
      <c r="B40" s="28">
        <f>(H39 * E40 + C24) * C14</f>
        <v>50131.881853789222</v>
      </c>
      <c r="C40" s="26"/>
      <c r="D40" s="27"/>
      <c r="E40" s="28">
        <v>2.75</v>
      </c>
      <c r="G40" s="9"/>
      <c r="H40" s="9"/>
    </row>
    <row r="41" spans="1:8" x14ac:dyDescent="0.4">
      <c r="A41" s="6" t="s">
        <v>34</v>
      </c>
      <c r="B41" s="6">
        <f>(F6 * H41 + C24) * C14 * (1 + C25)</f>
        <v>85581.790461160563</v>
      </c>
      <c r="C41" s="6">
        <f>B41*(1+C10)</f>
        <v>190761.8109379269</v>
      </c>
      <c r="D41" s="15">
        <f>B41*E10</f>
        <v>180769.70899263411</v>
      </c>
      <c r="G41" s="9" t="s">
        <v>66</v>
      </c>
      <c r="H41" s="9">
        <f>1 + 6 * C22 / (C22 + 2000) + C23</f>
        <v>4.1841668969328545</v>
      </c>
    </row>
    <row r="42" spans="1:8" x14ac:dyDescent="0.4">
      <c r="A42" s="6" t="s">
        <v>35</v>
      </c>
      <c r="B42" s="6">
        <f>(F6 * H41 + C24) * C14 * (1 + C25)</f>
        <v>85581.790461160563</v>
      </c>
      <c r="C42" s="6">
        <f>B42 * (1 + C10)</f>
        <v>190761.8109379269</v>
      </c>
      <c r="D42" s="15">
        <f>B42 * E10</f>
        <v>180769.70899263411</v>
      </c>
    </row>
    <row r="43" spans="1:8" s="28" customFormat="1" x14ac:dyDescent="0.4">
      <c r="A43" s="26" t="s">
        <v>49</v>
      </c>
      <c r="B43" s="28">
        <f>(H39 * E43 + C24) * C14</f>
        <v>17140.106949917652</v>
      </c>
      <c r="C43" s="26"/>
      <c r="E43" s="28">
        <v>0.6</v>
      </c>
    </row>
    <row r="44" spans="1:8" s="28" customFormat="1" x14ac:dyDescent="0.4">
      <c r="A44" s="26" t="s">
        <v>48</v>
      </c>
      <c r="B44" s="28">
        <f>(H39 * E44 + C24) * C14</f>
        <v>30950.617374794125</v>
      </c>
      <c r="C44" s="26"/>
      <c r="E44" s="28">
        <v>1.5</v>
      </c>
    </row>
    <row r="45" spans="1:8" s="28" customFormat="1" x14ac:dyDescent="0.4">
      <c r="A45" s="26" t="s">
        <v>50</v>
      </c>
      <c r="B45" s="28">
        <f>(H39 * E45 + C24) * C14</f>
        <v>53968.134749588251</v>
      </c>
      <c r="C45" s="26"/>
      <c r="E45" s="28">
        <v>3</v>
      </c>
    </row>
    <row r="46" spans="1:8" s="28" customFormat="1" x14ac:dyDescent="0.4">
      <c r="A46" s="26" t="s">
        <v>52</v>
      </c>
      <c r="B46" s="28">
        <f>(H39 * E46 + C24) * C14</f>
        <v>38623.123166392164</v>
      </c>
      <c r="C46" s="26"/>
      <c r="E46" s="28">
        <v>2</v>
      </c>
    </row>
    <row r="47" spans="1:8" s="28" customFormat="1" x14ac:dyDescent="0.4">
      <c r="A47" s="26" t="s">
        <v>53</v>
      </c>
      <c r="B47" s="28">
        <f>(H39 * E47 + C24) * C14</f>
        <v>38623.123166392164</v>
      </c>
      <c r="C47" s="26">
        <f>B47 * (1 + C10)</f>
        <v>86090.941537888139</v>
      </c>
      <c r="D47" s="28">
        <f>B47 * E10</f>
        <v>81581.49879259603</v>
      </c>
      <c r="E47" s="28">
        <v>2</v>
      </c>
    </row>
    <row r="48" spans="1:8" s="28" customFormat="1" x14ac:dyDescent="0.4">
      <c r="A48" s="26" t="s">
        <v>54</v>
      </c>
      <c r="B48" s="28">
        <f>(H39 * E48 + C24) * C14</f>
        <v>53968.134749588251</v>
      </c>
      <c r="C48" s="26">
        <f>B48 * (1 + C10)</f>
        <v>120294.97235683222</v>
      </c>
      <c r="D48" s="28">
        <f>B48 * E10</f>
        <v>113993.92278414404</v>
      </c>
      <c r="E48" s="28">
        <v>3</v>
      </c>
    </row>
    <row r="49" spans="1:5" s="28" customFormat="1" x14ac:dyDescent="0.4">
      <c r="A49" s="26" t="s">
        <v>56</v>
      </c>
      <c r="B49" s="28">
        <f>(H39 * E49 + C24) * C14</f>
        <v>11769.35289579902</v>
      </c>
      <c r="C49" s="26">
        <f>B49*(1+C10)</f>
        <v>26233.887604736017</v>
      </c>
      <c r="D49" s="28">
        <f>B49*E10</f>
        <v>24859.756807387002</v>
      </c>
      <c r="E49" s="28">
        <v>0.25</v>
      </c>
    </row>
  </sheetData>
  <mergeCells count="8">
    <mergeCell ref="A21:A25"/>
    <mergeCell ref="A26:A28"/>
    <mergeCell ref="A1:A4"/>
    <mergeCell ref="A5:A6"/>
    <mergeCell ref="A7:A8"/>
    <mergeCell ref="A9:A10"/>
    <mergeCell ref="A11:A14"/>
    <mergeCell ref="A15:A20"/>
  </mergeCells>
  <phoneticPr fontId="1" type="noConversion"/>
  <dataValidations count="3">
    <dataValidation type="list" allowBlank="1" showInputMessage="1" showErrorMessage="1" sqref="B1 B3" xr:uid="{1BA6AAEF-5816-4DB4-B9F5-91A528786B3E}">
      <formula1>"攻击力,生命值,精通,防御力"</formula1>
    </dataValidation>
    <dataValidation type="list" allowBlank="1" showInputMessage="1" showErrorMessage="1" sqref="C21" xr:uid="{1A5052D9-DACB-4CE5-8197-0475FBD67FE3}">
      <formula1>$A$32:$A$49</formula1>
    </dataValidation>
    <dataValidation type="list" allowBlank="1" showInputMessage="1" showErrorMessage="1" sqref="C16" xr:uid="{3ADCA3AE-40D8-41D8-8265-476A9AC4E347}">
      <formula1>"90,100,95,89,88,87,86,85,84,83,82,81,80,79,78,77,76,75,74,73,72,71,70"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3ED66-3AF8-4E34-BAA7-069CFDBC1C88}">
  <sheetPr codeName="Sheet4"/>
  <dimension ref="A1:J49"/>
  <sheetViews>
    <sheetView topLeftCell="A19" workbookViewId="0">
      <selection activeCell="C50" sqref="C50"/>
    </sheetView>
  </sheetViews>
  <sheetFormatPr defaultRowHeight="13.9" x14ac:dyDescent="0.4"/>
  <cols>
    <col min="1" max="1" width="14.06640625" style="6" customWidth="1"/>
    <col min="2" max="2" width="16.46484375" style="6" customWidth="1"/>
    <col min="3" max="3" width="13.265625" customWidth="1"/>
    <col min="4" max="4" width="12.86328125" customWidth="1"/>
    <col min="5" max="5" width="19.265625" customWidth="1"/>
    <col min="6" max="6" width="13.6640625" customWidth="1"/>
    <col min="7" max="7" width="18.46484375" customWidth="1"/>
    <col min="8" max="8" width="10.46484375" customWidth="1"/>
  </cols>
  <sheetData>
    <row r="1" spans="1:10" x14ac:dyDescent="0.4">
      <c r="A1" s="5" t="s">
        <v>0</v>
      </c>
      <c r="B1" s="6" t="s">
        <v>4</v>
      </c>
      <c r="C1" s="17">
        <v>0</v>
      </c>
      <c r="D1" s="1"/>
      <c r="F1" s="1"/>
      <c r="G1" s="3"/>
      <c r="H1" s="1"/>
      <c r="J1" s="1"/>
    </row>
    <row r="2" spans="1:10" x14ac:dyDescent="0.4">
      <c r="A2" s="5"/>
      <c r="B2" s="6" t="s">
        <v>5</v>
      </c>
      <c r="C2" s="16">
        <f>9.452 + 3.4 * 2 + 1.2</f>
        <v>17.451999999999998</v>
      </c>
      <c r="G2" s="11"/>
    </row>
    <row r="3" spans="1:10" x14ac:dyDescent="0.4">
      <c r="A3" s="5"/>
      <c r="B3" s="6" t="s">
        <v>6</v>
      </c>
      <c r="C3" s="17">
        <v>1619</v>
      </c>
      <c r="D3" s="1"/>
      <c r="F3" s="1"/>
      <c r="H3" s="1"/>
      <c r="J3" s="1"/>
    </row>
    <row r="4" spans="1:10" x14ac:dyDescent="0.4">
      <c r="A4" s="5"/>
      <c r="B4" s="6" t="s">
        <v>5</v>
      </c>
      <c r="C4">
        <f>2.736 * 3</f>
        <v>8.2080000000000002</v>
      </c>
      <c r="F4" s="1"/>
    </row>
    <row r="5" spans="1:10" x14ac:dyDescent="0.4">
      <c r="A5" s="5" t="s">
        <v>1</v>
      </c>
      <c r="B5" s="6" t="s">
        <v>2</v>
      </c>
      <c r="C5">
        <v>0</v>
      </c>
    </row>
    <row r="6" spans="1:10" x14ac:dyDescent="0.4">
      <c r="A6" s="5"/>
      <c r="B6" s="6" t="s">
        <v>3</v>
      </c>
      <c r="C6">
        <v>0.14000000000000001</v>
      </c>
      <c r="E6" s="8" t="s">
        <v>37</v>
      </c>
      <c r="F6" s="9">
        <f>(C1 * C2 + C3 *  C4 + C5) * (1 + C6)</f>
        <v>15149.177280000002</v>
      </c>
    </row>
    <row r="7" spans="1:10" x14ac:dyDescent="0.4">
      <c r="A7" s="5" t="s">
        <v>7</v>
      </c>
      <c r="B7" s="6" t="s">
        <v>39</v>
      </c>
      <c r="C7">
        <v>2.1720000000000002</v>
      </c>
    </row>
    <row r="8" spans="1:10" x14ac:dyDescent="0.4">
      <c r="A8" s="4"/>
      <c r="B8" s="6" t="s">
        <v>38</v>
      </c>
      <c r="C8">
        <v>0</v>
      </c>
    </row>
    <row r="9" spans="1:10" x14ac:dyDescent="0.4">
      <c r="A9" s="7" t="s">
        <v>16</v>
      </c>
      <c r="B9" s="6" t="s">
        <v>18</v>
      </c>
      <c r="C9">
        <v>0.90500000000000003</v>
      </c>
    </row>
    <row r="10" spans="1:10" x14ac:dyDescent="0.4">
      <c r="A10" s="7"/>
      <c r="B10" s="6" t="s">
        <v>17</v>
      </c>
      <c r="C10">
        <v>1.2290000000000001</v>
      </c>
      <c r="D10" s="8" t="s">
        <v>22</v>
      </c>
      <c r="E10" s="9">
        <f>1 + C9 * C10</f>
        <v>2.1122450000000002</v>
      </c>
    </row>
    <row r="11" spans="1:10" x14ac:dyDescent="0.4">
      <c r="A11" s="5" t="s">
        <v>8</v>
      </c>
      <c r="B11" s="6" t="s">
        <v>9</v>
      </c>
      <c r="C11">
        <v>0.1</v>
      </c>
    </row>
    <row r="12" spans="1:10" x14ac:dyDescent="0.4">
      <c r="A12" s="5"/>
      <c r="B12" s="6" t="s">
        <v>10</v>
      </c>
      <c r="C12">
        <f>0.3+0.25</f>
        <v>0.55000000000000004</v>
      </c>
      <c r="F12" s="12" t="s">
        <v>25</v>
      </c>
      <c r="G12" s="12"/>
      <c r="H12" s="12"/>
    </row>
    <row r="13" spans="1:10" x14ac:dyDescent="0.4">
      <c r="A13" s="5"/>
      <c r="B13" s="6" t="s">
        <v>11</v>
      </c>
      <c r="C13">
        <v>0</v>
      </c>
    </row>
    <row r="14" spans="1:10" x14ac:dyDescent="0.4">
      <c r="A14" s="5"/>
      <c r="B14" s="13" t="s">
        <v>40</v>
      </c>
      <c r="C14" s="9">
        <f>IF(E14&lt;0,1-E14/2,IF(E14&lt;=0.75,1-E14,1/(4*E14+1)))</f>
        <v>1.2250000000000001</v>
      </c>
      <c r="D14" s="10" t="s">
        <v>21</v>
      </c>
      <c r="E14" s="9">
        <f>C11 - C12 + C13</f>
        <v>-0.45000000000000007</v>
      </c>
    </row>
    <row r="15" spans="1:10" x14ac:dyDescent="0.4">
      <c r="A15" s="5" t="s">
        <v>12</v>
      </c>
      <c r="B15" s="6" t="s">
        <v>13</v>
      </c>
      <c r="C15">
        <v>110</v>
      </c>
    </row>
    <row r="16" spans="1:10" x14ac:dyDescent="0.4">
      <c r="A16" s="5"/>
      <c r="B16" s="6" t="s">
        <v>19</v>
      </c>
      <c r="C16">
        <v>90</v>
      </c>
      <c r="D16" s="8" t="s">
        <v>23</v>
      </c>
      <c r="E16" s="9">
        <f>VLOOKUP(C16,等级系数对照表!A:C,2,0)</f>
        <v>1446.8538579999999</v>
      </c>
      <c r="F16" s="9" t="s">
        <v>24</v>
      </c>
      <c r="G16" s="9">
        <f>VLOOKUP(C16,等级系数对照表!A:C,3,0)</f>
        <v>1851.060358</v>
      </c>
    </row>
    <row r="17" spans="1:6" x14ac:dyDescent="0.4">
      <c r="A17" s="5"/>
      <c r="B17" s="6" t="s">
        <v>14</v>
      </c>
      <c r="C17">
        <v>0</v>
      </c>
      <c r="D17" t="s">
        <v>20</v>
      </c>
    </row>
    <row r="18" spans="1:6" x14ac:dyDescent="0.4">
      <c r="A18" s="5"/>
      <c r="B18" s="6" t="s">
        <v>46</v>
      </c>
      <c r="C18">
        <v>0</v>
      </c>
      <c r="D18" t="s">
        <v>47</v>
      </c>
    </row>
    <row r="19" spans="1:6" x14ac:dyDescent="0.4">
      <c r="A19" s="5"/>
      <c r="B19" s="6" t="s">
        <v>15</v>
      </c>
    </row>
    <row r="20" spans="1:6" x14ac:dyDescent="0.4">
      <c r="A20" s="5"/>
      <c r="B20" s="13" t="s">
        <v>41</v>
      </c>
      <c r="C20" s="9">
        <f>IF(F21=1,1,(C16+100)/((C16+100)+(C15+100)*(1-C17+C19)*(1-C18)))</f>
        <v>0.47499999999999998</v>
      </c>
    </row>
    <row r="21" spans="1:6" x14ac:dyDescent="0.4">
      <c r="A21" s="5" t="s">
        <v>26</v>
      </c>
      <c r="B21" s="6" t="s">
        <v>43</v>
      </c>
      <c r="C21" s="1" t="s">
        <v>31</v>
      </c>
      <c r="E21" s="8"/>
      <c r="F21" s="9"/>
    </row>
    <row r="22" spans="1:6" x14ac:dyDescent="0.4">
      <c r="A22" s="2"/>
      <c r="B22" s="6" t="s">
        <v>44</v>
      </c>
      <c r="C22">
        <v>1619</v>
      </c>
    </row>
    <row r="23" spans="1:6" x14ac:dyDescent="0.4">
      <c r="A23" s="2"/>
      <c r="B23" s="6" t="s">
        <v>61</v>
      </c>
      <c r="C23">
        <v>0.5</v>
      </c>
    </row>
    <row r="24" spans="1:6" x14ac:dyDescent="0.4">
      <c r="A24" s="2"/>
      <c r="B24" s="6" t="s">
        <v>57</v>
      </c>
      <c r="C24">
        <f>1619*4</f>
        <v>6476</v>
      </c>
      <c r="D24" t="s">
        <v>62</v>
      </c>
    </row>
    <row r="25" spans="1:6" x14ac:dyDescent="0.4">
      <c r="A25" s="2"/>
      <c r="B25" s="6" t="s">
        <v>59</v>
      </c>
      <c r="C25">
        <v>0</v>
      </c>
    </row>
    <row r="26" spans="1:6" x14ac:dyDescent="0.4">
      <c r="A26" s="18" t="s">
        <v>45</v>
      </c>
      <c r="B26" s="14" t="s">
        <v>63</v>
      </c>
      <c r="C26" s="12">
        <f>VLOOKUP(C21,A:D, 2,0)</f>
        <v>167252.97527550947</v>
      </c>
    </row>
    <row r="27" spans="1:6" x14ac:dyDescent="0.4">
      <c r="A27" s="18"/>
      <c r="B27" s="14" t="s">
        <v>42</v>
      </c>
      <c r="C27" s="12">
        <f>VLOOKUP(C21,A:D, 3,0)</f>
        <v>372806.88188911061</v>
      </c>
    </row>
    <row r="28" spans="1:6" x14ac:dyDescent="0.4">
      <c r="A28" s="19"/>
      <c r="B28" s="14" t="s">
        <v>22</v>
      </c>
      <c r="C28" s="12">
        <f>VLOOKUP(C21,A:D, 4,0)</f>
        <v>353279.26076081849</v>
      </c>
    </row>
    <row r="31" spans="1:6" x14ac:dyDescent="0.4">
      <c r="B31" s="6" t="s">
        <v>63</v>
      </c>
      <c r="C31" s="6" t="s">
        <v>42</v>
      </c>
      <c r="D31" s="6" t="s">
        <v>22</v>
      </c>
      <c r="E31" s="6" t="s">
        <v>58</v>
      </c>
      <c r="F31" s="6"/>
    </row>
    <row r="32" spans="1:6" x14ac:dyDescent="0.4">
      <c r="A32" s="6" t="s">
        <v>36</v>
      </c>
      <c r="B32" s="6">
        <f>F6 * (1 + C7 - C8)* C14 * C20</f>
        <v>27960.950124525607</v>
      </c>
      <c r="C32">
        <f>B32 * (1 +C10)</f>
        <v>62324.957827567581</v>
      </c>
      <c r="D32" s="6">
        <f>B32 * E10</f>
        <v>59060.377095778596</v>
      </c>
    </row>
    <row r="33" spans="1:8" s="22" customFormat="1" x14ac:dyDescent="0.4">
      <c r="A33" s="20" t="s">
        <v>27</v>
      </c>
      <c r="B33" s="20">
        <f>(F6 + E16 * 1.15 * H33) * (1 + C7 - C8) * C14 * C20</f>
        <v>41386.261820968532</v>
      </c>
      <c r="C33" s="22">
        <f>B33 * (1 + C10)</f>
        <v>92249.977598938858</v>
      </c>
      <c r="D33" s="21">
        <f>B33 * E10</f>
        <v>87417.924600031678</v>
      </c>
      <c r="E33" s="22">
        <v>1.1499999999999999</v>
      </c>
      <c r="G33" s="22" t="s">
        <v>65</v>
      </c>
      <c r="H33" s="22">
        <f>1 + 5 * C22 / (C22 + 1200) + C23</f>
        <v>4.3715856686768362</v>
      </c>
    </row>
    <row r="34" spans="1:8" s="22" customFormat="1" x14ac:dyDescent="0.4">
      <c r="A34" s="20" t="s">
        <v>28</v>
      </c>
      <c r="B34" s="20">
        <f>(F6 + E16 * 1.25 *H33) * (1 + C7 - C8) * C14 * C20</f>
        <v>42553.680229354883</v>
      </c>
      <c r="C34" s="22">
        <f>B34 * (1 + C10)</f>
        <v>94852.153231232034</v>
      </c>
      <c r="D34" s="21">
        <f>B34 * E10</f>
        <v>89883.798296053705</v>
      </c>
      <c r="E34" s="22">
        <v>1.25</v>
      </c>
    </row>
    <row r="35" spans="1:8" s="25" customFormat="1" x14ac:dyDescent="0.4">
      <c r="A35" s="23" t="s">
        <v>29</v>
      </c>
      <c r="B35" s="23">
        <f>B32 * H35 * E35</f>
        <v>125439.7314566321</v>
      </c>
      <c r="C35" s="25">
        <f>B35 * (1 + C10)</f>
        <v>279605.16141683294</v>
      </c>
      <c r="D35" s="24">
        <f>B35 * E10</f>
        <v>264959.4455706139</v>
      </c>
      <c r="E35" s="25">
        <v>1.5</v>
      </c>
      <c r="G35" s="25" t="s">
        <v>64</v>
      </c>
      <c r="H35" s="25">
        <f>1+2.78*C22/(C22+1400) + C23</f>
        <v>2.9908314011262007</v>
      </c>
    </row>
    <row r="36" spans="1:8" s="25" customFormat="1" x14ac:dyDescent="0.4">
      <c r="A36" s="23" t="s">
        <v>30</v>
      </c>
      <c r="B36" s="23">
        <f>B32 * H35 * E36</f>
        <v>167252.97527550947</v>
      </c>
      <c r="C36" s="25">
        <f>B36 * (1 + C10)</f>
        <v>372806.88188911061</v>
      </c>
      <c r="D36" s="24">
        <f>B36 * E10</f>
        <v>353279.26076081849</v>
      </c>
      <c r="E36" s="25">
        <v>2</v>
      </c>
    </row>
    <row r="37" spans="1:8" s="25" customFormat="1" x14ac:dyDescent="0.4">
      <c r="A37" s="23" t="s">
        <v>32</v>
      </c>
      <c r="B37" s="23">
        <f>B32 * H35 * E37</f>
        <v>167252.97527550947</v>
      </c>
      <c r="C37" s="25">
        <f>B37 * (1 + C10)</f>
        <v>372806.88188911061</v>
      </c>
      <c r="D37" s="24">
        <f>B37 * E10</f>
        <v>353279.26076081849</v>
      </c>
      <c r="E37" s="25">
        <v>2</v>
      </c>
    </row>
    <row r="38" spans="1:8" s="25" customFormat="1" x14ac:dyDescent="0.4">
      <c r="A38" s="23" t="s">
        <v>33</v>
      </c>
      <c r="B38" s="23">
        <f>B32 * H35 * E38</f>
        <v>125439.7314566321</v>
      </c>
      <c r="C38" s="25">
        <f>B38 * (1 + C10)</f>
        <v>279605.16141683294</v>
      </c>
      <c r="D38" s="24">
        <f>B38 * E10</f>
        <v>264959.4455706139</v>
      </c>
      <c r="E38" s="25">
        <v>1.5</v>
      </c>
    </row>
    <row r="39" spans="1:8" s="28" customFormat="1" x14ac:dyDescent="0.4">
      <c r="A39" s="26" t="s">
        <v>55</v>
      </c>
      <c r="B39" s="28">
        <f>(H39 * E39 + C24) * C14</f>
        <v>53968.134749588251</v>
      </c>
      <c r="C39" s="26">
        <f>B39*(1+C10)</f>
        <v>120294.97235683222</v>
      </c>
      <c r="D39" s="27">
        <f>B39*E10</f>
        <v>113993.92278414404</v>
      </c>
      <c r="E39" s="28">
        <v>3</v>
      </c>
      <c r="G39" s="29" t="s">
        <v>60</v>
      </c>
      <c r="H39" s="9">
        <f>E16 * (1 + 16 * C22 / (C22 + 2000) + C23)</f>
        <v>12526.540067915168</v>
      </c>
    </row>
    <row r="40" spans="1:8" s="28" customFormat="1" x14ac:dyDescent="0.4">
      <c r="A40" s="26" t="s">
        <v>51</v>
      </c>
      <c r="B40" s="28">
        <f>(H39 * E40 + C24) * C14</f>
        <v>50131.881853789222</v>
      </c>
      <c r="C40" s="26"/>
      <c r="D40" s="27"/>
      <c r="E40" s="28">
        <v>2.75</v>
      </c>
      <c r="G40" s="9"/>
      <c r="H40" s="9"/>
    </row>
    <row r="41" spans="1:8" x14ac:dyDescent="0.4">
      <c r="A41" s="6" t="s">
        <v>34</v>
      </c>
      <c r="B41" s="6">
        <f>(F6 * H41 + C24) * C14 * (1 + C25)</f>
        <v>85581.790461160563</v>
      </c>
      <c r="C41" s="6">
        <f>B41*(1+C10)</f>
        <v>190761.8109379269</v>
      </c>
      <c r="D41" s="15">
        <f>B41*E10</f>
        <v>180769.70899263411</v>
      </c>
      <c r="G41" s="9" t="s">
        <v>66</v>
      </c>
      <c r="H41" s="9">
        <f>1 + 6 * C22 / (C22 + 2000) + C23</f>
        <v>4.1841668969328545</v>
      </c>
    </row>
    <row r="42" spans="1:8" x14ac:dyDescent="0.4">
      <c r="A42" s="6" t="s">
        <v>35</v>
      </c>
      <c r="B42" s="6">
        <f>(F6 * H41 + C24) * C14 * (1 + C25)</f>
        <v>85581.790461160563</v>
      </c>
      <c r="C42" s="6">
        <f>B42 * (1 + C10)</f>
        <v>190761.8109379269</v>
      </c>
      <c r="D42" s="15">
        <f>B42 * E10</f>
        <v>180769.70899263411</v>
      </c>
    </row>
    <row r="43" spans="1:8" s="28" customFormat="1" x14ac:dyDescent="0.4">
      <c r="A43" s="26" t="s">
        <v>49</v>
      </c>
      <c r="B43" s="28">
        <f>(H39 * E43 + C24) * C14</f>
        <v>17140.106949917652</v>
      </c>
      <c r="C43" s="26"/>
      <c r="E43" s="28">
        <v>0.6</v>
      </c>
    </row>
    <row r="44" spans="1:8" s="28" customFormat="1" x14ac:dyDescent="0.4">
      <c r="A44" s="26" t="s">
        <v>48</v>
      </c>
      <c r="B44" s="28">
        <f>(H39 * E44 + C24) * C14</f>
        <v>30950.617374794125</v>
      </c>
      <c r="C44" s="26"/>
      <c r="E44" s="28">
        <v>1.5</v>
      </c>
    </row>
    <row r="45" spans="1:8" s="28" customFormat="1" x14ac:dyDescent="0.4">
      <c r="A45" s="26" t="s">
        <v>50</v>
      </c>
      <c r="B45" s="28">
        <f>(H39 * E45 + C24) * C14</f>
        <v>53968.134749588251</v>
      </c>
      <c r="C45" s="26"/>
      <c r="E45" s="28">
        <v>3</v>
      </c>
    </row>
    <row r="46" spans="1:8" s="28" customFormat="1" x14ac:dyDescent="0.4">
      <c r="A46" s="26" t="s">
        <v>52</v>
      </c>
      <c r="B46" s="28">
        <f>(H39 * E46 + C24) * C14</f>
        <v>38623.123166392164</v>
      </c>
      <c r="C46" s="26"/>
      <c r="E46" s="28">
        <v>2</v>
      </c>
    </row>
    <row r="47" spans="1:8" s="28" customFormat="1" x14ac:dyDescent="0.4">
      <c r="A47" s="26" t="s">
        <v>53</v>
      </c>
      <c r="B47" s="28">
        <f>(H39 * E47 + C24) * C14</f>
        <v>38623.123166392164</v>
      </c>
      <c r="C47" s="26">
        <f>B47 * (1 + C10)</f>
        <v>86090.941537888139</v>
      </c>
      <c r="D47" s="28">
        <f>B47 * E10</f>
        <v>81581.49879259603</v>
      </c>
      <c r="E47" s="28">
        <v>2</v>
      </c>
    </row>
    <row r="48" spans="1:8" s="28" customFormat="1" x14ac:dyDescent="0.4">
      <c r="A48" s="26" t="s">
        <v>54</v>
      </c>
      <c r="B48" s="28">
        <f>(H39 * E48 + C24) * C14</f>
        <v>53968.134749588251</v>
      </c>
      <c r="C48" s="26">
        <f>B48 * (1 + C10)</f>
        <v>120294.97235683222</v>
      </c>
      <c r="D48" s="28">
        <f>B48 * E10</f>
        <v>113993.92278414404</v>
      </c>
      <c r="E48" s="28">
        <v>3</v>
      </c>
    </row>
    <row r="49" spans="1:5" s="28" customFormat="1" x14ac:dyDescent="0.4">
      <c r="A49" s="26" t="s">
        <v>56</v>
      </c>
      <c r="B49" s="28">
        <f>(H39 * E49 + C24) * C14</f>
        <v>11769.35289579902</v>
      </c>
      <c r="C49" s="26">
        <f>B49*(1+C10)</f>
        <v>26233.887604736017</v>
      </c>
      <c r="D49" s="28">
        <f>B49*E10</f>
        <v>24859.756807387002</v>
      </c>
      <c r="E49" s="28">
        <v>0.25</v>
      </c>
    </row>
  </sheetData>
  <mergeCells count="8">
    <mergeCell ref="A21:A25"/>
    <mergeCell ref="A26:A28"/>
    <mergeCell ref="A1:A4"/>
    <mergeCell ref="A5:A6"/>
    <mergeCell ref="A7:A8"/>
    <mergeCell ref="A9:A10"/>
    <mergeCell ref="A11:A14"/>
    <mergeCell ref="A15:A20"/>
  </mergeCells>
  <phoneticPr fontId="1" type="noConversion"/>
  <dataValidations count="3">
    <dataValidation type="list" allowBlank="1" showInputMessage="1" showErrorMessage="1" sqref="C16" xr:uid="{FC65E82E-219F-43F7-ADE0-EACD5FE71F86}">
      <formula1>"90,100,95,89,88,87,86,85,84,83,82,81,80,79,78,77,76,75,74,73,72,71,70"</formula1>
    </dataValidation>
    <dataValidation type="list" allowBlank="1" showInputMessage="1" showErrorMessage="1" sqref="C21" xr:uid="{31B37304-6E4A-4B9D-BAF5-456A50251433}">
      <formula1>$A$32:$A$49</formula1>
    </dataValidation>
    <dataValidation type="list" allowBlank="1" showInputMessage="1" showErrorMessage="1" sqref="B1 B3" xr:uid="{E039B1E6-988E-4699-8203-7026D5320760}">
      <formula1>"攻击力,生命值,精通,防御力"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6342-8FF8-4D1F-89D2-238BA0040E7F}">
  <dimension ref="A1:C24"/>
  <sheetViews>
    <sheetView workbookViewId="0">
      <selection activeCell="A25" sqref="A25"/>
    </sheetView>
  </sheetViews>
  <sheetFormatPr defaultRowHeight="13.9" x14ac:dyDescent="0.4"/>
  <cols>
    <col min="2" max="2" width="12.46484375" customWidth="1"/>
    <col min="3" max="3" width="13.6640625" customWidth="1"/>
  </cols>
  <sheetData>
    <row r="1" spans="1:3" x14ac:dyDescent="0.4">
      <c r="A1" t="s">
        <v>19</v>
      </c>
      <c r="B1" t="s">
        <v>23</v>
      </c>
      <c r="C1" t="s">
        <v>24</v>
      </c>
    </row>
    <row r="2" spans="1:3" x14ac:dyDescent="0.4">
      <c r="A2">
        <v>70</v>
      </c>
      <c r="B2">
        <v>765.64023099999997</v>
      </c>
      <c r="C2">
        <v>1314.75288</v>
      </c>
    </row>
    <row r="3" spans="1:3" x14ac:dyDescent="0.4">
      <c r="A3">
        <v>71</v>
      </c>
      <c r="B3">
        <v>794.77340300000003</v>
      </c>
      <c r="C3">
        <v>1342.6652160000001</v>
      </c>
    </row>
    <row r="4" spans="1:3" x14ac:dyDescent="0.4">
      <c r="A4">
        <v>72</v>
      </c>
      <c r="B4">
        <v>824.67739700000004</v>
      </c>
      <c r="C4">
        <v>1372.752485</v>
      </c>
    </row>
    <row r="5" spans="1:3" x14ac:dyDescent="0.4">
      <c r="A5">
        <v>73</v>
      </c>
      <c r="B5">
        <v>851.157781</v>
      </c>
      <c r="C5">
        <v>1396.3209859999999</v>
      </c>
    </row>
    <row r="6" spans="1:3" x14ac:dyDescent="0.4">
      <c r="A6">
        <v>74</v>
      </c>
      <c r="B6">
        <v>877.74208999999996</v>
      </c>
      <c r="C6">
        <v>1427.3124359999999</v>
      </c>
    </row>
    <row r="7" spans="1:3" x14ac:dyDescent="0.4">
      <c r="A7">
        <v>75</v>
      </c>
      <c r="B7">
        <v>914.22912299999996</v>
      </c>
      <c r="C7">
        <v>1458.3745280000001</v>
      </c>
    </row>
    <row r="8" spans="1:3" x14ac:dyDescent="0.4">
      <c r="A8">
        <v>76</v>
      </c>
      <c r="B8">
        <v>946.74675200000001</v>
      </c>
      <c r="C8">
        <v>1482.3357719999999</v>
      </c>
    </row>
    <row r="9" spans="1:3" x14ac:dyDescent="0.4">
      <c r="A9">
        <v>77</v>
      </c>
      <c r="B9">
        <v>979.41138599999999</v>
      </c>
      <c r="C9">
        <v>1511.9108369999999</v>
      </c>
    </row>
    <row r="10" spans="1:3" x14ac:dyDescent="0.4">
      <c r="A10">
        <v>78</v>
      </c>
      <c r="B10">
        <v>1011.223022</v>
      </c>
      <c r="C10">
        <v>1541.549377</v>
      </c>
    </row>
    <row r="11" spans="1:3" x14ac:dyDescent="0.4">
      <c r="A11">
        <v>79</v>
      </c>
      <c r="B11">
        <v>1044.7917460000001</v>
      </c>
      <c r="C11">
        <v>1569.153701</v>
      </c>
    </row>
    <row r="12" spans="1:3" x14ac:dyDescent="0.4">
      <c r="A12">
        <v>80</v>
      </c>
      <c r="B12">
        <v>1077.4436679999999</v>
      </c>
      <c r="C12">
        <v>1596.814298</v>
      </c>
    </row>
    <row r="13" spans="1:3" x14ac:dyDescent="0.4">
      <c r="A13">
        <v>81</v>
      </c>
      <c r="B13">
        <v>1109.9975400000001</v>
      </c>
      <c r="C13">
        <v>1622.4196260000001</v>
      </c>
    </row>
    <row r="14" spans="1:3" x14ac:dyDescent="0.4">
      <c r="A14">
        <v>82</v>
      </c>
      <c r="B14">
        <v>1142.976615</v>
      </c>
      <c r="C14">
        <v>1648.0740310000001</v>
      </c>
    </row>
    <row r="15" spans="1:3" x14ac:dyDescent="0.4">
      <c r="A15">
        <v>83</v>
      </c>
      <c r="B15">
        <v>1176.3694829999999</v>
      </c>
      <c r="C15">
        <v>1666.3761460000001</v>
      </c>
    </row>
    <row r="16" spans="1:3" x14ac:dyDescent="0.4">
      <c r="A16">
        <v>84</v>
      </c>
      <c r="B16">
        <v>1210.184393</v>
      </c>
      <c r="C16">
        <v>1684.6782760000001</v>
      </c>
    </row>
    <row r="17" spans="1:3" x14ac:dyDescent="0.4">
      <c r="A17">
        <v>85</v>
      </c>
      <c r="B17">
        <v>1253.8356590000001</v>
      </c>
      <c r="C17">
        <v>1702.9803910000001</v>
      </c>
    </row>
    <row r="18" spans="1:3" x14ac:dyDescent="0.4">
      <c r="A18">
        <v>86</v>
      </c>
      <c r="B18">
        <v>1288.9528009999999</v>
      </c>
      <c r="C18">
        <v>1726.1046839999999</v>
      </c>
    </row>
    <row r="19" spans="1:3" x14ac:dyDescent="0.4">
      <c r="A19">
        <v>87</v>
      </c>
      <c r="B19">
        <v>1325.4840919999999</v>
      </c>
      <c r="C19">
        <v>1754.6715670000001</v>
      </c>
    </row>
    <row r="20" spans="1:3" x14ac:dyDescent="0.4">
      <c r="A20">
        <v>88</v>
      </c>
      <c r="B20">
        <v>1363.4569280000001</v>
      </c>
      <c r="C20">
        <v>1785.8665599999999</v>
      </c>
    </row>
    <row r="21" spans="1:3" x14ac:dyDescent="0.4">
      <c r="A21">
        <v>89</v>
      </c>
      <c r="B21">
        <v>1405.0973770000001</v>
      </c>
      <c r="C21">
        <v>1817.1374040000001</v>
      </c>
    </row>
    <row r="22" spans="1:3" x14ac:dyDescent="0.4">
      <c r="A22">
        <v>90</v>
      </c>
      <c r="B22">
        <v>1446.8538579999999</v>
      </c>
      <c r="C22">
        <v>1851.060358</v>
      </c>
    </row>
    <row r="23" spans="1:3" x14ac:dyDescent="0.4">
      <c r="A23">
        <v>95</v>
      </c>
      <c r="B23">
        <v>1561.4680000000001</v>
      </c>
      <c r="C23">
        <v>1851.060358</v>
      </c>
    </row>
    <row r="24" spans="1:3" x14ac:dyDescent="0.4">
      <c r="A24">
        <v>100</v>
      </c>
      <c r="B24">
        <v>1674.8091999999999</v>
      </c>
      <c r="C24">
        <v>1851.060358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954A8-E4CE-4E2D-B5BA-C0425D5FFB8E}">
  <sheetPr codeName="Sheet5"/>
  <dimension ref="A1:J49"/>
  <sheetViews>
    <sheetView tabSelected="1" topLeftCell="A19" workbookViewId="0">
      <selection activeCell="C50" sqref="C50"/>
    </sheetView>
  </sheetViews>
  <sheetFormatPr defaultRowHeight="13.9" x14ac:dyDescent="0.4"/>
  <cols>
    <col min="1" max="1" width="14.06640625" style="6" customWidth="1"/>
    <col min="2" max="2" width="16.46484375" style="6" customWidth="1"/>
    <col min="3" max="3" width="13.265625" customWidth="1"/>
    <col min="4" max="4" width="12.86328125" customWidth="1"/>
    <col min="5" max="5" width="19.265625" customWidth="1"/>
    <col min="6" max="6" width="13.6640625" customWidth="1"/>
    <col min="7" max="7" width="18.46484375" customWidth="1"/>
    <col min="8" max="8" width="10.46484375" customWidth="1"/>
  </cols>
  <sheetData>
    <row r="1" spans="1:10" x14ac:dyDescent="0.4">
      <c r="A1" s="5" t="s">
        <v>0</v>
      </c>
      <c r="B1" s="6" t="s">
        <v>4</v>
      </c>
      <c r="C1" s="17">
        <v>0</v>
      </c>
      <c r="D1" s="1"/>
      <c r="F1" s="1"/>
      <c r="G1" s="3"/>
      <c r="H1" s="1"/>
      <c r="J1" s="1"/>
    </row>
    <row r="2" spans="1:10" x14ac:dyDescent="0.4">
      <c r="A2" s="5"/>
      <c r="B2" s="6" t="s">
        <v>5</v>
      </c>
      <c r="C2" s="16">
        <f>9.452 + 3.4 * 2 + 1.2</f>
        <v>17.451999999999998</v>
      </c>
      <c r="G2" s="11"/>
    </row>
    <row r="3" spans="1:10" x14ac:dyDescent="0.4">
      <c r="A3" s="5"/>
      <c r="B3" s="6" t="s">
        <v>6</v>
      </c>
      <c r="C3" s="17">
        <v>1619</v>
      </c>
      <c r="D3" s="1"/>
      <c r="F3" s="1"/>
      <c r="H3" s="1"/>
      <c r="J3" s="1"/>
    </row>
    <row r="4" spans="1:10" x14ac:dyDescent="0.4">
      <c r="A4" s="5"/>
      <c r="B4" s="6" t="s">
        <v>5</v>
      </c>
      <c r="C4">
        <f>2.736 * 3</f>
        <v>8.2080000000000002</v>
      </c>
      <c r="F4" s="1"/>
    </row>
    <row r="5" spans="1:10" x14ac:dyDescent="0.4">
      <c r="A5" s="5" t="s">
        <v>1</v>
      </c>
      <c r="B5" s="6" t="s">
        <v>2</v>
      </c>
      <c r="C5">
        <v>0</v>
      </c>
    </row>
    <row r="6" spans="1:10" x14ac:dyDescent="0.4">
      <c r="A6" s="5"/>
      <c r="B6" s="6" t="s">
        <v>3</v>
      </c>
      <c r="C6">
        <v>0.14000000000000001</v>
      </c>
      <c r="E6" s="8" t="s">
        <v>37</v>
      </c>
      <c r="F6" s="9">
        <f>(C1 * C2 + C3 *  C4 + C5) * (1 + C6)</f>
        <v>15149.177280000002</v>
      </c>
    </row>
    <row r="7" spans="1:10" x14ac:dyDescent="0.4">
      <c r="A7" s="5" t="s">
        <v>7</v>
      </c>
      <c r="B7" s="6" t="s">
        <v>39</v>
      </c>
      <c r="C7">
        <v>2.1720000000000002</v>
      </c>
    </row>
    <row r="8" spans="1:10" x14ac:dyDescent="0.4">
      <c r="A8" s="4"/>
      <c r="B8" s="6" t="s">
        <v>38</v>
      </c>
      <c r="C8">
        <v>0</v>
      </c>
    </row>
    <row r="9" spans="1:10" x14ac:dyDescent="0.4">
      <c r="A9" s="7" t="s">
        <v>16</v>
      </c>
      <c r="B9" s="6" t="s">
        <v>18</v>
      </c>
      <c r="C9">
        <v>0.90500000000000003</v>
      </c>
    </row>
    <row r="10" spans="1:10" x14ac:dyDescent="0.4">
      <c r="A10" s="7"/>
      <c r="B10" s="6" t="s">
        <v>17</v>
      </c>
      <c r="C10">
        <v>1.2290000000000001</v>
      </c>
      <c r="D10" s="8" t="s">
        <v>22</v>
      </c>
      <c r="E10" s="9">
        <f>1 + C9 * C10</f>
        <v>2.1122450000000002</v>
      </c>
    </row>
    <row r="11" spans="1:10" x14ac:dyDescent="0.4">
      <c r="A11" s="5" t="s">
        <v>8</v>
      </c>
      <c r="B11" s="6" t="s">
        <v>9</v>
      </c>
      <c r="C11">
        <v>0.1</v>
      </c>
    </row>
    <row r="12" spans="1:10" x14ac:dyDescent="0.4">
      <c r="A12" s="5"/>
      <c r="B12" s="6" t="s">
        <v>10</v>
      </c>
      <c r="C12">
        <f>0.3+0.25</f>
        <v>0.55000000000000004</v>
      </c>
      <c r="F12" s="12" t="s">
        <v>25</v>
      </c>
      <c r="G12" s="12"/>
      <c r="H12" s="12"/>
    </row>
    <row r="13" spans="1:10" x14ac:dyDescent="0.4">
      <c r="A13" s="5"/>
      <c r="B13" s="6" t="s">
        <v>11</v>
      </c>
      <c r="C13">
        <v>0</v>
      </c>
    </row>
    <row r="14" spans="1:10" x14ac:dyDescent="0.4">
      <c r="A14" s="5"/>
      <c r="B14" s="13" t="s">
        <v>40</v>
      </c>
      <c r="C14" s="9">
        <f>IF(E14&lt;0,1-E14/2,IF(E14&lt;=0.75,1-E14,1/(4*E14+1)))</f>
        <v>1.2250000000000001</v>
      </c>
      <c r="D14" s="10" t="s">
        <v>21</v>
      </c>
      <c r="E14" s="9">
        <f>C11 - C12 + C13</f>
        <v>-0.45000000000000007</v>
      </c>
    </row>
    <row r="15" spans="1:10" x14ac:dyDescent="0.4">
      <c r="A15" s="5" t="s">
        <v>12</v>
      </c>
      <c r="B15" s="6" t="s">
        <v>13</v>
      </c>
      <c r="C15">
        <v>110</v>
      </c>
    </row>
    <row r="16" spans="1:10" x14ac:dyDescent="0.4">
      <c r="A16" s="5"/>
      <c r="B16" s="6" t="s">
        <v>19</v>
      </c>
      <c r="C16">
        <v>90</v>
      </c>
      <c r="D16" s="8" t="s">
        <v>23</v>
      </c>
      <c r="E16" s="9">
        <f>VLOOKUP(C16,等级系数对照表!A:C,2,0)</f>
        <v>1446.8538579999999</v>
      </c>
      <c r="F16" s="9" t="s">
        <v>24</v>
      </c>
      <c r="G16" s="9">
        <f>VLOOKUP(C16,等级系数对照表!A:C,3,0)</f>
        <v>1851.060358</v>
      </c>
    </row>
    <row r="17" spans="1:6" x14ac:dyDescent="0.4">
      <c r="A17" s="5"/>
      <c r="B17" s="6" t="s">
        <v>14</v>
      </c>
      <c r="C17">
        <v>0</v>
      </c>
      <c r="D17" t="s">
        <v>20</v>
      </c>
    </row>
    <row r="18" spans="1:6" x14ac:dyDescent="0.4">
      <c r="A18" s="5"/>
      <c r="B18" s="6" t="s">
        <v>46</v>
      </c>
      <c r="C18">
        <v>0</v>
      </c>
      <c r="D18" t="s">
        <v>47</v>
      </c>
    </row>
    <row r="19" spans="1:6" x14ac:dyDescent="0.4">
      <c r="A19" s="5"/>
      <c r="B19" s="6" t="s">
        <v>15</v>
      </c>
    </row>
    <row r="20" spans="1:6" x14ac:dyDescent="0.4">
      <c r="A20" s="5"/>
      <c r="B20" s="13" t="s">
        <v>41</v>
      </c>
      <c r="C20" s="9">
        <f>IF(F21=1,1,(C16+100)/((C16+100)+(C15+100)*(1-C17+C19)*(1-C18)))</f>
        <v>0.47499999999999998</v>
      </c>
    </row>
    <row r="21" spans="1:6" x14ac:dyDescent="0.4">
      <c r="A21" s="5" t="s">
        <v>26</v>
      </c>
      <c r="B21" s="6" t="s">
        <v>43</v>
      </c>
      <c r="C21" s="1" t="s">
        <v>31</v>
      </c>
      <c r="E21" s="8"/>
      <c r="F21" s="9"/>
    </row>
    <row r="22" spans="1:6" x14ac:dyDescent="0.4">
      <c r="A22" s="2"/>
      <c r="B22" s="6" t="s">
        <v>44</v>
      </c>
      <c r="C22">
        <v>1619</v>
      </c>
    </row>
    <row r="23" spans="1:6" x14ac:dyDescent="0.4">
      <c r="A23" s="2"/>
      <c r="B23" s="6" t="s">
        <v>61</v>
      </c>
      <c r="C23">
        <v>0.5</v>
      </c>
    </row>
    <row r="24" spans="1:6" x14ac:dyDescent="0.4">
      <c r="A24" s="2"/>
      <c r="B24" s="6" t="s">
        <v>57</v>
      </c>
      <c r="C24">
        <f>1619*4</f>
        <v>6476</v>
      </c>
      <c r="D24" t="s">
        <v>62</v>
      </c>
    </row>
    <row r="25" spans="1:6" x14ac:dyDescent="0.4">
      <c r="A25" s="2"/>
      <c r="B25" s="6" t="s">
        <v>59</v>
      </c>
      <c r="C25">
        <v>0</v>
      </c>
    </row>
    <row r="26" spans="1:6" x14ac:dyDescent="0.4">
      <c r="A26" s="18" t="s">
        <v>45</v>
      </c>
      <c r="B26" s="14" t="s">
        <v>63</v>
      </c>
      <c r="C26" s="12">
        <f>VLOOKUP(C21,A:D, 2,0)</f>
        <v>167252.97527550947</v>
      </c>
    </row>
    <row r="27" spans="1:6" x14ac:dyDescent="0.4">
      <c r="A27" s="18"/>
      <c r="B27" s="14" t="s">
        <v>42</v>
      </c>
      <c r="C27" s="12">
        <f>VLOOKUP(C21,A:D, 3,0)</f>
        <v>372806.88188911061</v>
      </c>
    </row>
    <row r="28" spans="1:6" x14ac:dyDescent="0.4">
      <c r="A28" s="19"/>
      <c r="B28" s="14" t="s">
        <v>22</v>
      </c>
      <c r="C28" s="12">
        <f>VLOOKUP(C21,A:D, 4,0)</f>
        <v>353279.26076081849</v>
      </c>
    </row>
    <row r="31" spans="1:6" x14ac:dyDescent="0.4">
      <c r="B31" s="6" t="s">
        <v>63</v>
      </c>
      <c r="C31" s="6" t="s">
        <v>42</v>
      </c>
      <c r="D31" s="6" t="s">
        <v>22</v>
      </c>
      <c r="E31" s="6" t="s">
        <v>58</v>
      </c>
      <c r="F31" s="6"/>
    </row>
    <row r="32" spans="1:6" x14ac:dyDescent="0.4">
      <c r="A32" s="6" t="s">
        <v>36</v>
      </c>
      <c r="B32" s="6">
        <f>F6 * (1 + C7 - C8)* C14 * C20</f>
        <v>27960.950124525607</v>
      </c>
      <c r="C32">
        <f>B32 * (1 +C10)</f>
        <v>62324.957827567581</v>
      </c>
      <c r="D32" s="6">
        <f>B32 * E10</f>
        <v>59060.377095778596</v>
      </c>
    </row>
    <row r="33" spans="1:8" s="22" customFormat="1" x14ac:dyDescent="0.4">
      <c r="A33" s="20" t="s">
        <v>27</v>
      </c>
      <c r="B33" s="20">
        <f>(F6 + E16 * 1.15 * H33) * (1 + C7 - C8) * C14 * C20</f>
        <v>41386.261820968532</v>
      </c>
      <c r="C33" s="22">
        <f>B33 * (1 + C10)</f>
        <v>92249.977598938858</v>
      </c>
      <c r="D33" s="21">
        <f>B33 * E10</f>
        <v>87417.924600031678</v>
      </c>
      <c r="E33" s="22">
        <v>1.1499999999999999</v>
      </c>
      <c r="G33" s="22" t="s">
        <v>65</v>
      </c>
      <c r="H33" s="22">
        <f>1 + 5 * C22 / (C22 + 1200) + C23</f>
        <v>4.3715856686768362</v>
      </c>
    </row>
    <row r="34" spans="1:8" s="22" customFormat="1" x14ac:dyDescent="0.4">
      <c r="A34" s="20" t="s">
        <v>28</v>
      </c>
      <c r="B34" s="20">
        <f>(F6 + E16 * 1.25 *H33) * (1 + C7 - C8) * C14 * C20</f>
        <v>42553.680229354883</v>
      </c>
      <c r="C34" s="22">
        <f>B34 * (1 + C10)</f>
        <v>94852.153231232034</v>
      </c>
      <c r="D34" s="21">
        <f>B34 * E10</f>
        <v>89883.798296053705</v>
      </c>
      <c r="E34" s="22">
        <v>1.25</v>
      </c>
    </row>
    <row r="35" spans="1:8" s="25" customFormat="1" x14ac:dyDescent="0.4">
      <c r="A35" s="23" t="s">
        <v>29</v>
      </c>
      <c r="B35" s="23">
        <f>B32 * H35 * E35</f>
        <v>125439.7314566321</v>
      </c>
      <c r="C35" s="25">
        <f>B35 * (1 + C10)</f>
        <v>279605.16141683294</v>
      </c>
      <c r="D35" s="24">
        <f>B35 * E10</f>
        <v>264959.4455706139</v>
      </c>
      <c r="E35" s="25">
        <v>1.5</v>
      </c>
      <c r="G35" s="25" t="s">
        <v>64</v>
      </c>
      <c r="H35" s="25">
        <f>1+2.78*C22/(C22+1400) + C23</f>
        <v>2.9908314011262007</v>
      </c>
    </row>
    <row r="36" spans="1:8" s="25" customFormat="1" x14ac:dyDescent="0.4">
      <c r="A36" s="23" t="s">
        <v>30</v>
      </c>
      <c r="B36" s="23">
        <f>B32 * H35 * E36</f>
        <v>167252.97527550947</v>
      </c>
      <c r="C36" s="25">
        <f>B36 * (1 + C10)</f>
        <v>372806.88188911061</v>
      </c>
      <c r="D36" s="24">
        <f>B36 * E10</f>
        <v>353279.26076081849</v>
      </c>
      <c r="E36" s="25">
        <v>2</v>
      </c>
    </row>
    <row r="37" spans="1:8" s="25" customFormat="1" x14ac:dyDescent="0.4">
      <c r="A37" s="23" t="s">
        <v>32</v>
      </c>
      <c r="B37" s="23">
        <f>B32 * H35 * E37</f>
        <v>167252.97527550947</v>
      </c>
      <c r="C37" s="25">
        <f>B37 * (1 + C10)</f>
        <v>372806.88188911061</v>
      </c>
      <c r="D37" s="24">
        <f>B37 * E10</f>
        <v>353279.26076081849</v>
      </c>
      <c r="E37" s="25">
        <v>2</v>
      </c>
    </row>
    <row r="38" spans="1:8" s="25" customFormat="1" x14ac:dyDescent="0.4">
      <c r="A38" s="23" t="s">
        <v>33</v>
      </c>
      <c r="B38" s="23">
        <f>B32 * H35 * E38</f>
        <v>125439.7314566321</v>
      </c>
      <c r="C38" s="25">
        <f>B38 * (1 + C10)</f>
        <v>279605.16141683294</v>
      </c>
      <c r="D38" s="24">
        <f>B38 * E10</f>
        <v>264959.4455706139</v>
      </c>
      <c r="E38" s="25">
        <v>1.5</v>
      </c>
    </row>
    <row r="39" spans="1:8" s="28" customFormat="1" x14ac:dyDescent="0.4">
      <c r="A39" s="26" t="s">
        <v>55</v>
      </c>
      <c r="B39" s="28">
        <f>(H39 * E39 + C24) * C14</f>
        <v>53968.134749588251</v>
      </c>
      <c r="C39" s="26">
        <f>B39*(1+C10)</f>
        <v>120294.97235683222</v>
      </c>
      <c r="D39" s="27">
        <f>B39*E10</f>
        <v>113993.92278414404</v>
      </c>
      <c r="E39" s="28">
        <v>3</v>
      </c>
      <c r="G39" s="29" t="s">
        <v>60</v>
      </c>
      <c r="H39" s="9">
        <f>E16 * (1 + 16 * C22 / (C22 + 2000) + C23)</f>
        <v>12526.540067915168</v>
      </c>
    </row>
    <row r="40" spans="1:8" s="28" customFormat="1" x14ac:dyDescent="0.4">
      <c r="A40" s="26" t="s">
        <v>51</v>
      </c>
      <c r="B40" s="28">
        <f>(H39 * E40 + C24) * C14</f>
        <v>50131.881853789222</v>
      </c>
      <c r="C40" s="26"/>
      <c r="D40" s="27"/>
      <c r="E40" s="28">
        <v>2.75</v>
      </c>
      <c r="G40" s="9"/>
      <c r="H40" s="9"/>
    </row>
    <row r="41" spans="1:8" x14ac:dyDescent="0.4">
      <c r="A41" s="6" t="s">
        <v>34</v>
      </c>
      <c r="B41" s="6">
        <f>(F6 * H41 + C24) * C14 * (1 + C25)</f>
        <v>85581.790461160563</v>
      </c>
      <c r="C41" s="6">
        <f>B41*(1+C10)</f>
        <v>190761.8109379269</v>
      </c>
      <c r="D41" s="15">
        <f>B41*E10</f>
        <v>180769.70899263411</v>
      </c>
      <c r="G41" s="9" t="s">
        <v>66</v>
      </c>
      <c r="H41" s="9">
        <f>1 + 6 * C22 / (C22 + 2000) + C23</f>
        <v>4.1841668969328545</v>
      </c>
    </row>
    <row r="42" spans="1:8" x14ac:dyDescent="0.4">
      <c r="A42" s="6" t="s">
        <v>35</v>
      </c>
      <c r="B42" s="6">
        <f>(F6 * H41 + C24) * C14 * (1 + C25)</f>
        <v>85581.790461160563</v>
      </c>
      <c r="C42" s="6">
        <f>B42 * (1 + C10)</f>
        <v>190761.8109379269</v>
      </c>
      <c r="D42" s="15">
        <f>B42 * E10</f>
        <v>180769.70899263411</v>
      </c>
    </row>
    <row r="43" spans="1:8" s="28" customFormat="1" x14ac:dyDescent="0.4">
      <c r="A43" s="26" t="s">
        <v>49</v>
      </c>
      <c r="B43" s="28">
        <f>(H39 * E43 + C24) * C14</f>
        <v>17140.106949917652</v>
      </c>
      <c r="C43" s="26"/>
      <c r="E43" s="28">
        <v>0.6</v>
      </c>
    </row>
    <row r="44" spans="1:8" s="28" customFormat="1" x14ac:dyDescent="0.4">
      <c r="A44" s="26" t="s">
        <v>48</v>
      </c>
      <c r="B44" s="28">
        <f>(H39 * E44 + C24) * C14</f>
        <v>30950.617374794125</v>
      </c>
      <c r="C44" s="26"/>
      <c r="E44" s="28">
        <v>1.5</v>
      </c>
    </row>
    <row r="45" spans="1:8" s="28" customFormat="1" x14ac:dyDescent="0.4">
      <c r="A45" s="26" t="s">
        <v>50</v>
      </c>
      <c r="B45" s="28">
        <f>(H39 * E45 + C24) * C14</f>
        <v>53968.134749588251</v>
      </c>
      <c r="C45" s="26"/>
      <c r="E45" s="28">
        <v>3</v>
      </c>
    </row>
    <row r="46" spans="1:8" s="28" customFormat="1" x14ac:dyDescent="0.4">
      <c r="A46" s="26" t="s">
        <v>52</v>
      </c>
      <c r="B46" s="28">
        <f>(H39 * E46 + C24) * C14</f>
        <v>38623.123166392164</v>
      </c>
      <c r="C46" s="26"/>
      <c r="E46" s="28">
        <v>2</v>
      </c>
    </row>
    <row r="47" spans="1:8" s="28" customFormat="1" x14ac:dyDescent="0.4">
      <c r="A47" s="26" t="s">
        <v>53</v>
      </c>
      <c r="B47" s="28">
        <f>(H39 * E47 + C24) * C14</f>
        <v>38623.123166392164</v>
      </c>
      <c r="C47" s="26">
        <f>B47 * (1 + C10)</f>
        <v>86090.941537888139</v>
      </c>
      <c r="D47" s="28">
        <f>B47 * E10</f>
        <v>81581.49879259603</v>
      </c>
      <c r="E47" s="28">
        <v>2</v>
      </c>
    </row>
    <row r="48" spans="1:8" s="28" customFormat="1" x14ac:dyDescent="0.4">
      <c r="A48" s="26" t="s">
        <v>54</v>
      </c>
      <c r="B48" s="28">
        <f>(H39 * E48 + C24) * C14</f>
        <v>53968.134749588251</v>
      </c>
      <c r="C48" s="26">
        <f>B48 * (1 + C10)</f>
        <v>120294.97235683222</v>
      </c>
      <c r="D48" s="28">
        <f>B48 * E10</f>
        <v>113993.92278414404</v>
      </c>
      <c r="E48" s="28">
        <v>3</v>
      </c>
    </row>
    <row r="49" spans="1:5" s="28" customFormat="1" x14ac:dyDescent="0.4">
      <c r="A49" s="26" t="s">
        <v>56</v>
      </c>
      <c r="B49" s="28">
        <f>(H39 * E49 + C24) * C14</f>
        <v>11769.35289579902</v>
      </c>
      <c r="C49" s="26">
        <f>B49*(1+C10)</f>
        <v>26233.887604736017</v>
      </c>
      <c r="D49" s="28">
        <f>B49*E10</f>
        <v>24859.756807387002</v>
      </c>
      <c r="E49" s="28">
        <v>0.25</v>
      </c>
    </row>
  </sheetData>
  <mergeCells count="8">
    <mergeCell ref="A21:A25"/>
    <mergeCell ref="A26:A28"/>
    <mergeCell ref="A1:A4"/>
    <mergeCell ref="A5:A6"/>
    <mergeCell ref="A7:A8"/>
    <mergeCell ref="A9:A10"/>
    <mergeCell ref="A11:A14"/>
    <mergeCell ref="A15:A20"/>
  </mergeCells>
  <phoneticPr fontId="1" type="noConversion"/>
  <dataValidations count="3">
    <dataValidation type="list" allowBlank="1" showInputMessage="1" showErrorMessage="1" sqref="B1 B3" xr:uid="{6D43E171-C71D-4089-ADE6-066F154AC6E5}">
      <formula1>"攻击力,生命值,精通,防御力"</formula1>
    </dataValidation>
    <dataValidation type="list" allowBlank="1" showInputMessage="1" showErrorMessage="1" sqref="C21" xr:uid="{55DD26B3-84DC-4C33-A2A7-571BD2F0E707}">
      <formula1>$A$32:$A$49</formula1>
    </dataValidation>
    <dataValidation type="list" allowBlank="1" showInputMessage="1" showErrorMessage="1" sqref="C16" xr:uid="{66932176-4DCA-4E7C-B429-FBF5DE7A5046}">
      <formula1>"90,100,95,89,88,87,86,85,84,83,82,81,80,79,78,77,76,75,74,73,72,71,70"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角色一</vt:lpstr>
      <vt:lpstr>角色二</vt:lpstr>
      <vt:lpstr>角色三</vt:lpstr>
      <vt:lpstr>角色四</vt:lpstr>
      <vt:lpstr>等级系数对照表</vt:lpstr>
      <vt:lpstr>原始页面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Lutts Cao</dc:creator>
  <cp:lastModifiedBy>Lutts Cao</cp:lastModifiedBy>
  <dcterms:created xsi:type="dcterms:W3CDTF">2015-06-05T18:19:34Z</dcterms:created>
  <dcterms:modified xsi:type="dcterms:W3CDTF">2025-10-11T08:02:11Z</dcterms:modified>
</cp:coreProperties>
</file>